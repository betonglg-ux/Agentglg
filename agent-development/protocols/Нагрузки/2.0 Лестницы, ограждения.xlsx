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Z:\БЕТОН\#ФОРМАТКИ\Нагрузки\"/>
    </mc:Choice>
  </mc:AlternateContent>
  <xr:revisionPtr revIDLastSave="0" documentId="13_ncr:1_{2D09944B-2C2F-4528-8CF1-B4ECFEC793AF}" xr6:coauthVersionLast="47" xr6:coauthVersionMax="47" xr10:uidLastSave="{00000000-0000-0000-0000-000000000000}"/>
  <bookViews>
    <workbookView xWindow="-120" yWindow="-120" windowWidth="29040" windowHeight="15840" tabRatio="819" firstSheet="1" activeTab="1" xr2:uid="{00000000-000D-0000-FFFF-FFFF00000000}"/>
  </bookViews>
  <sheets>
    <sheet name="Рассчеты (3)" sheetId="170" state="hidden" r:id="rId1"/>
    <sheet name="Лестницы, ограждения" sheetId="172" r:id="rId2"/>
    <sheet name="Бирки" sheetId="183" r:id="rId3"/>
  </sheets>
  <externalReferences>
    <externalReference r:id="rId4"/>
  </externalReferences>
  <definedNames>
    <definedName name="_xlnm.Print_Area" localSheetId="1">'Лестницы, ограждения'!$A$1:$Y$72</definedName>
    <definedName name="_xlnm.Print_Area" localSheetId="0">'Рассчеты (3)'!$A$1:$K$59</definedName>
  </definedNames>
  <calcPr calcId="191029"/>
</workbook>
</file>

<file path=xl/calcChain.xml><?xml version="1.0" encoding="utf-8"?>
<calcChain xmlns="http://schemas.openxmlformats.org/spreadsheetml/2006/main">
  <c r="O40" i="172" l="1"/>
  <c r="C14" i="183"/>
  <c r="G14" i="183"/>
  <c r="G6" i="183"/>
  <c r="C6" i="183"/>
  <c r="G16" i="183"/>
  <c r="C16" i="183"/>
  <c r="G8" i="183"/>
  <c r="C8" i="183"/>
  <c r="C7" i="183"/>
  <c r="G47" i="183" s="1"/>
  <c r="G80" i="183"/>
  <c r="C80" i="183"/>
  <c r="G78" i="183"/>
  <c r="C78" i="183"/>
  <c r="G72" i="183"/>
  <c r="C72" i="183"/>
  <c r="G70" i="183"/>
  <c r="C70" i="183"/>
  <c r="G64" i="183"/>
  <c r="C64" i="183"/>
  <c r="G62" i="183"/>
  <c r="C62" i="183"/>
  <c r="G56" i="183"/>
  <c r="C56" i="183"/>
  <c r="G54" i="183"/>
  <c r="C54" i="183"/>
  <c r="G46" i="183"/>
  <c r="C46" i="183"/>
  <c r="G38" i="183"/>
  <c r="C38" i="183"/>
  <c r="G30" i="183"/>
  <c r="C30" i="183"/>
  <c r="G22" i="183"/>
  <c r="C22" i="183"/>
  <c r="S56" i="172"/>
  <c r="S55" i="172"/>
  <c r="S54" i="172"/>
  <c r="S53" i="172"/>
  <c r="O50" i="172"/>
  <c r="O51" i="172"/>
  <c r="O48" i="172"/>
  <c r="G48" i="183" s="1"/>
  <c r="S49" i="172"/>
  <c r="S50" i="172"/>
  <c r="S51" i="172"/>
  <c r="S40" i="172"/>
  <c r="AE23" i="172"/>
  <c r="AF23" i="172" s="1"/>
  <c r="S48" i="172" s="1"/>
  <c r="S47" i="172"/>
  <c r="S46" i="172"/>
  <c r="S45" i="172"/>
  <c r="S44" i="172"/>
  <c r="O41" i="172"/>
  <c r="O42" i="172"/>
  <c r="O43" i="172"/>
  <c r="AE11" i="172"/>
  <c r="AF11" i="172" s="1"/>
  <c r="S41" i="172" s="1"/>
  <c r="S39" i="172"/>
  <c r="S38" i="172"/>
  <c r="S37" i="172"/>
  <c r="S36" i="172"/>
  <c r="G30" i="172"/>
  <c r="A14" i="172"/>
  <c r="G31" i="183" l="1"/>
  <c r="G40" i="183"/>
  <c r="G39" i="183"/>
  <c r="C55" i="183"/>
  <c r="C15" i="183"/>
  <c r="C63" i="183"/>
  <c r="G15" i="183"/>
  <c r="G63" i="183"/>
  <c r="S43" i="172"/>
  <c r="G7" i="183"/>
  <c r="G55" i="183"/>
  <c r="C23" i="183"/>
  <c r="C71" i="183"/>
  <c r="G23" i="183"/>
  <c r="G71" i="183"/>
  <c r="O49" i="172"/>
  <c r="C31" i="183"/>
  <c r="C79" i="183"/>
  <c r="C40" i="183"/>
  <c r="G79" i="183"/>
  <c r="C39" i="183"/>
  <c r="S42" i="172"/>
  <c r="C47" i="183"/>
  <c r="C48" i="183"/>
  <c r="R13" i="172"/>
  <c r="G32" i="183" l="1"/>
  <c r="G24" i="183"/>
  <c r="C24" i="183"/>
  <c r="C32" i="183"/>
  <c r="B41" i="170"/>
  <c r="B40" i="170"/>
  <c r="B39" i="170"/>
  <c r="B38" i="170"/>
  <c r="B37" i="170"/>
  <c r="B36" i="170"/>
  <c r="B35" i="170"/>
  <c r="B34" i="170"/>
  <c r="B33" i="170"/>
  <c r="B32" i="170"/>
  <c r="N28" i="170"/>
  <c r="A46" i="170" l="1"/>
  <c r="C46" i="17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F49E55-11A9-4E7D-BC5B-9CCB419565AE}" keepAlive="1" name="Запрос — Таблица2" description="Соединение с запросом &quot;Таблица2&quot; в книге." type="5" refreshedVersion="0" background="1">
    <dbPr connection="Provider=Microsoft.Mashup.OleDb.1;Data Source=$Workbook$;Location=Таблица2;Extended Properties=&quot;&quot;" command="SELECT * FROM [Таблица2]"/>
  </connection>
</connections>
</file>

<file path=xl/sharedStrings.xml><?xml version="1.0" encoding="utf-8"?>
<sst xmlns="http://schemas.openxmlformats.org/spreadsheetml/2006/main" count="199" uniqueCount="107">
  <si>
    <t>Заказчик :</t>
  </si>
  <si>
    <t>Примечание :</t>
  </si>
  <si>
    <t>Оборудование, инструменты:</t>
  </si>
  <si>
    <t>Ответственные исполнители:</t>
  </si>
  <si>
    <t>Инженер:</t>
  </si>
  <si>
    <t>_________________/Симоров А.Ю./</t>
  </si>
  <si>
    <t>Заведующий строительной лабораторией:</t>
  </si>
  <si>
    <t>Протокол об испытаниях №0000.ВС/04.24 от 01.04.2024</t>
  </si>
  <si>
    <t>Анкеры механические для крепления в бетоне по ГОСТ 56731-2023</t>
  </si>
  <si>
    <t>ГОСТ 56731-2023 Анкера механические для крепления в бетоне. Методы испытаний</t>
  </si>
  <si>
    <t>Измеритель адгезии ПСО-100МГ4АД зав. 2573, свидетельство о поверке 
«ВИК-НДТ», зав. №3581, свидетельство о калибровке № К0034-1001/24 действительно до 09.01.2025;</t>
  </si>
  <si>
    <t>Методика проведения испытаний:</t>
  </si>
  <si>
    <t xml:space="preserve">Основание для проведения работ: </t>
  </si>
  <si>
    <t>СЧЕТ № 23305/14-11-25/2 от 14 ноября 2025 года</t>
  </si>
  <si>
    <t>СТО-44416204-010-2010 «Крепления анкерные. Метод определения несущей способности по результатам натурных испытаний»</t>
  </si>
  <si>
    <t>Материал</t>
  </si>
  <si>
    <t>Метод сверления</t>
  </si>
  <si>
    <t>Место проведения</t>
  </si>
  <si>
    <t>Дата испытаний</t>
  </si>
  <si>
    <t>Глубина заделки, мм</t>
  </si>
  <si>
    <t>Бурение</t>
  </si>
  <si>
    <t>Стена в/о 1-2/А-Б 
на отм. +1,050</t>
  </si>
  <si>
    <t>Тяжелый бетон В25</t>
  </si>
  <si>
    <t>t, ℃</t>
  </si>
  <si>
    <t>Вид испытаний:</t>
  </si>
  <si>
    <t xml:space="preserve">Адрес объекта:     </t>
  </si>
  <si>
    <t xml:space="preserve">Наименование объекта:     </t>
  </si>
  <si>
    <t>Испытание на вырыв</t>
  </si>
  <si>
    <t xml:space="preserve">Описание и тип анкера, наименование изготовителя: </t>
  </si>
  <si>
    <t>Дюбель для теплоизоляции 10х180мм ИЗТ, с 
металлическим стержнем и термоголовкой - ООО "HILTI"</t>
  </si>
  <si>
    <t>Расстояние между анкерами, мм</t>
  </si>
  <si>
    <t>№ С-ГА/24-06-2025/444021486 действительно до 23.06.2027; Измеритель параметров микроклимата; Метеоскоп-М; "МЕТЕОСКОП-М"; Рег. № 32014-11 зав. № 615022, свидетельство о поверке №С-ДЮП/05-07-2024/353605602 действительно до 04.07.2026. Перфоратор DeWALT, рулетка, молоток.</t>
  </si>
  <si>
    <t>Описание и тип анкера, наименование изготовителя:</t>
  </si>
  <si>
    <t>Анкер-Ш 10х180мм ИЗТ, с металлическим стержнем и термоголовкой - ООО "HILTI"</t>
  </si>
  <si>
    <t>Среднее значение нагрузки N, кН:</t>
  </si>
  <si>
    <t>Среднеквадратическое отклонение S, кН:</t>
  </si>
  <si>
    <t>Коэффициент надёжности по материалу, m:</t>
  </si>
  <si>
    <t>Коэффициент условий работы:</t>
  </si>
  <si>
    <t>Расчётное сопротивление анкерного крепления:</t>
  </si>
  <si>
    <t>Расчётное сопротивление анкерного крепления с учетом коэффициента условий работы:</t>
  </si>
  <si>
    <t>нарушение контакта анкера с бетоном</t>
  </si>
  <si>
    <t>разрушение анкера по стали</t>
  </si>
  <si>
    <t>выкалывание бетона основания</t>
  </si>
  <si>
    <t>Нагрузка</t>
  </si>
  <si>
    <t>Расч сопротивление</t>
  </si>
  <si>
    <t>Расчётное сопротивление с учетом коэффициента условий работы:</t>
  </si>
  <si>
    <t>Таблица 1</t>
  </si>
  <si>
    <t>Таблица 3</t>
  </si>
  <si>
    <t>Коэф. вариации v,
%:</t>
  </si>
  <si>
    <t>Коэф. условий работы:</t>
  </si>
  <si>
    <t>Коэф. надёжности, m:</t>
  </si>
  <si>
    <t>Коэф., К:</t>
  </si>
  <si>
    <t>Дата изготовления</t>
  </si>
  <si>
    <t>№ образца в серии</t>
  </si>
  <si>
    <t>№ испытания</t>
  </si>
  <si>
    <t>Анкер-Ш 10х180мм</t>
  </si>
  <si>
    <t>Случмежду</t>
  </si>
  <si>
    <t>Анкер-Ш 12х180мм</t>
  </si>
  <si>
    <t>Наименование объекта:</t>
  </si>
  <si>
    <t>Адрес объекта:</t>
  </si>
  <si>
    <t>Дата проведения испытаний:</t>
  </si>
  <si>
    <t>Исполнитель:</t>
  </si>
  <si>
    <t>ООО «ГЛАВЛАБГРУПП»</t>
  </si>
  <si>
    <t>ООО «АТЛАНТ»</t>
  </si>
  <si>
    <t>Квартал Издание. «Комплекс жилых домов переменной этажности со встроенно-пристроенными помещениями общественного назначения и подземной автостоянкой»</t>
  </si>
  <si>
    <t>г. Москва, внутригородское образование Нижегородское, шоссе Перовское, земельный участок с кадастровым номером 77:04:0002001:8601</t>
  </si>
  <si>
    <t>Симоров А.Ю.</t>
  </si>
  <si>
    <t>Паршутин Р.Ю.</t>
  </si>
  <si>
    <t>Испытательная лаборатория ООО «ГЛАВЛАБГРУПП»
ИНН/КПП 7724484743/772401001, ОГРН 1197746472802
Адрес: 115304, г. Москва, ул. Каспийская, дом 22, корпус 1, стр. 5, эт. 1, пом. 1, ком 5 и 5а
Аттестат аккредитации №РОСС RU.31112.И002015
Срок действия до 24 июня 2026 года. </t>
  </si>
  <si>
    <t>Методика испытаний:</t>
  </si>
  <si>
    <t>Используемое оборудование:</t>
  </si>
  <si>
    <t>Вид контроля:</t>
  </si>
  <si>
    <t>УТВЕРЖДАЮ:</t>
  </si>
  <si>
    <t>(подпись)</t>
  </si>
  <si>
    <t>1. Протокол измерений касается только данных участков</t>
  </si>
  <si>
    <t>2. Не разрешается перепечатка протокола без разрешения руководителя СЛ</t>
  </si>
  <si>
    <t>Результаты испытаний:</t>
  </si>
  <si>
    <t>№п/п</t>
  </si>
  <si>
    <t>Динамометр АЦД/1Р-100/7И-2, зав. №5660, свидетельство о поверке № С-БЕ/13-05-2025/432045473, действительно до 12.05.2026; 
Комплект для визуального контроля типа ВИК, зав. №3579, свидетельство о калибровке № К0063-0901/25, действительно до 08.01.2026.</t>
  </si>
  <si>
    <t>ГОСТ Р 53254-2009 "Техника пожарная. Лестницы пожарные наружные стационарные. Ограждения кровли. Общие технические требования. Методы испытаний"</t>
  </si>
  <si>
    <t>Условия проведения испытаний:</t>
  </si>
  <si>
    <t>Наименование испытываемого элемента</t>
  </si>
  <si>
    <t>№ точки</t>
  </si>
  <si>
    <t>Нагрузка, кН(кгс)</t>
  </si>
  <si>
    <t>Результаты испытаний</t>
  </si>
  <si>
    <t>Ступени</t>
  </si>
  <si>
    <t>Балки</t>
  </si>
  <si>
    <t>Ограждения лестницы</t>
  </si>
  <si>
    <t>Ограждения кровли</t>
  </si>
  <si>
    <t>Площадка</t>
  </si>
  <si>
    <t>Вывод:</t>
  </si>
  <si>
    <t>При визуальном и измерительном контроле, после снятия нагрузки остаточной деформации и нарушения целостности конструкций не выявлено.
Испытания проводились в соответствии: ГОСТ Р 53254-2009 «Техника пожарная. Лестницы пожарные наружные стационарные. Ограждения кровли. Общие технические требования. Методы испытаний.»</t>
  </si>
  <si>
    <t>Пожарная лестница в/о 1-2/Д-Е с отм. +12,200 до отм. +14,990</t>
  </si>
  <si>
    <t>Ограждение кровли в/о 2-7/Г-Е на отм. +14,730</t>
  </si>
  <si>
    <t>Испытания лестниц и ограждений на прочность</t>
  </si>
  <si>
    <t>Балки крепления (двойные)</t>
  </si>
  <si>
    <t>Высота лестницы</t>
  </si>
  <si>
    <t>кн</t>
  </si>
  <si>
    <t>кгс</t>
  </si>
  <si>
    <t>ширина</t>
  </si>
  <si>
    <t>длина</t>
  </si>
  <si>
    <t>количество балок</t>
  </si>
  <si>
    <t>Точки крепления к стене пишем в 2 раза меньше (как кол-во испытаний балок)</t>
  </si>
  <si>
    <t>-</t>
  </si>
  <si>
    <t>без отклонений</t>
  </si>
  <si>
    <t>Наименование конструкции:</t>
  </si>
  <si>
    <t>Нагрузка, кН (кгс):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</si>
</sst>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0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u/>
      <sz val="8"/>
      <color theme="10"/>
      <name val="Times New Roman"/>
      <family val="1"/>
      <charset val="204"/>
    </font>
    <font>
      <sz val="9"/>
      <color theme="1"/>
      <name val="Times New Roman"/>
      <family val="2"/>
      <charset val="204"/>
    </font>
    <font>
      <sz val="8"/>
      <color rgb="FF000000"/>
      <name val="Times New Roman"/>
      <family val="1"/>
      <charset val="204"/>
    </font>
    <font>
      <sz val="8"/>
      <color theme="1"/>
      <name val="Times New Roman"/>
      <family val="2"/>
      <charset val="204"/>
    </font>
    <font>
      <b/>
      <sz val="8"/>
      <color theme="1"/>
      <name val="Times New Roman"/>
      <family val="1"/>
      <charset val="204"/>
    </font>
    <font>
      <sz val="10"/>
      <color theme="1"/>
      <name val="Times New Roman"/>
      <family val="2"/>
      <charset val="204"/>
    </font>
    <font>
      <sz val="10"/>
      <name val="Times New Roman"/>
      <family val="2"/>
      <charset val="204"/>
    </font>
    <font>
      <b/>
      <sz val="14"/>
      <color rgb="FFFFC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2"/>
      <charset val="204"/>
    </font>
    <font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4" fillId="0" borderId="0"/>
    <xf numFmtId="0" fontId="1" fillId="0" borderId="0"/>
  </cellStyleXfs>
  <cellXfs count="161">
    <xf numFmtId="0" fontId="0" fillId="0" borderId="0" xfId="0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0" fontId="9" fillId="0" borderId="0" xfId="1" applyFont="1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/>
    <xf numFmtId="14" fontId="16" fillId="0" borderId="0" xfId="0" applyNumberFormat="1" applyFont="1"/>
    <xf numFmtId="0" fontId="7" fillId="0" borderId="0" xfId="1" applyFont="1" applyAlignment="1">
      <alignment wrapText="1"/>
    </xf>
    <xf numFmtId="0" fontId="11" fillId="0" borderId="0" xfId="1" applyFont="1" applyAlignment="1">
      <alignment wrapText="1"/>
    </xf>
    <xf numFmtId="0" fontId="11" fillId="0" borderId="0" xfId="1" applyFont="1" applyAlignment="1">
      <alignment horizontal="right" wrapText="1"/>
    </xf>
    <xf numFmtId="0" fontId="9" fillId="0" borderId="0" xfId="1" applyFont="1"/>
    <xf numFmtId="0" fontId="11" fillId="0" borderId="0" xfId="1" applyFont="1"/>
    <xf numFmtId="0" fontId="11" fillId="0" borderId="0" xfId="1" applyFont="1" applyAlignment="1">
      <alignment horizontal="right"/>
    </xf>
    <xf numFmtId="0" fontId="20" fillId="0" borderId="0" xfId="0" applyFont="1" applyAlignment="1">
      <alignment vertical="center"/>
    </xf>
    <xf numFmtId="0" fontId="13" fillId="0" borderId="0" xfId="2" applyFont="1" applyFill="1" applyBorder="1" applyAlignment="1" applyProtection="1"/>
    <xf numFmtId="0" fontId="15" fillId="0" borderId="0" xfId="0" applyFont="1" applyAlignment="1">
      <alignment vertical="top"/>
    </xf>
    <xf numFmtId="0" fontId="12" fillId="0" borderId="0" xfId="0" applyFont="1"/>
    <xf numFmtId="0" fontId="17" fillId="0" borderId="0" xfId="1" applyFont="1" applyAlignment="1">
      <alignment horizontal="right"/>
    </xf>
    <xf numFmtId="0" fontId="16" fillId="0" borderId="0" xfId="0" applyFont="1" applyAlignment="1">
      <alignment vertical="top"/>
    </xf>
    <xf numFmtId="0" fontId="9" fillId="0" borderId="0" xfId="1" applyFont="1" applyAlignment="1">
      <alignment horizontal="right" vertical="top"/>
    </xf>
    <xf numFmtId="0" fontId="14" fillId="0" borderId="0" xfId="0" applyFont="1"/>
    <xf numFmtId="0" fontId="10" fillId="0" borderId="0" xfId="0" applyFont="1"/>
    <xf numFmtId="0" fontId="9" fillId="0" borderId="0" xfId="0" applyFont="1" applyAlignment="1">
      <alignment vertical="top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9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0" fillId="0" borderId="1" xfId="0" applyBorder="1"/>
    <xf numFmtId="164" fontId="10" fillId="0" borderId="0" xfId="0" applyNumberFormat="1" applyFont="1" applyAlignment="1">
      <alignment horizontal="center" vertical="center" wrapText="1"/>
    </xf>
    <xf numFmtId="0" fontId="21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21" fillId="2" borderId="6" xfId="0" applyFont="1" applyFill="1" applyBorder="1" applyAlignment="1">
      <alignment horizontal="left" vertical="top" wrapText="1"/>
    </xf>
    <xf numFmtId="0" fontId="0" fillId="2" borderId="0" xfId="0" applyFill="1"/>
    <xf numFmtId="0" fontId="21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0" fontId="21" fillId="2" borderId="0" xfId="0" applyFont="1" applyFill="1" applyAlignment="1">
      <alignment horizontal="left" vertical="top" wrapText="1"/>
    </xf>
    <xf numFmtId="0" fontId="21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14" fontId="9" fillId="0" borderId="0" xfId="0" applyNumberFormat="1" applyFont="1" applyAlignment="1">
      <alignment horizontal="right" vertical="center" wrapText="1"/>
    </xf>
    <xf numFmtId="0" fontId="23" fillId="0" borderId="0" xfId="0" applyFont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 wrapText="1"/>
    </xf>
    <xf numFmtId="0" fontId="22" fillId="0" borderId="0" xfId="0" applyFont="1"/>
    <xf numFmtId="0" fontId="23" fillId="0" borderId="0" xfId="0" applyFont="1" applyAlignment="1">
      <alignment vertical="top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26" fillId="0" borderId="0" xfId="0" applyFont="1"/>
    <xf numFmtId="0" fontId="26" fillId="0" borderId="0" xfId="0" applyFont="1" applyAlignment="1">
      <alignment vertical="center"/>
    </xf>
    <xf numFmtId="0" fontId="26" fillId="0" borderId="0" xfId="11" applyFont="1" applyAlignment="1">
      <alignment vertic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29" fillId="0" borderId="7" xfId="12" applyFont="1" applyBorder="1"/>
    <xf numFmtId="0" fontId="29" fillId="0" borderId="8" xfId="12" applyFont="1" applyBorder="1"/>
    <xf numFmtId="0" fontId="29" fillId="0" borderId="9" xfId="12" applyFont="1" applyBorder="1"/>
    <xf numFmtId="0" fontId="1" fillId="0" borderId="0" xfId="12"/>
    <xf numFmtId="0" fontId="29" fillId="0" borderId="10" xfId="12" applyFont="1" applyBorder="1"/>
    <xf numFmtId="0" fontId="29" fillId="0" borderId="0" xfId="12" applyFont="1"/>
    <xf numFmtId="0" fontId="29" fillId="0" borderId="11" xfId="12" applyFont="1" applyBorder="1"/>
    <xf numFmtId="0" fontId="29" fillId="0" borderId="7" xfId="12" applyFont="1" applyBorder="1" applyAlignment="1">
      <alignment vertical="center"/>
    </xf>
    <xf numFmtId="0" fontId="29" fillId="0" borderId="8" xfId="12" applyFont="1" applyBorder="1" applyAlignment="1">
      <alignment vertical="center"/>
    </xf>
    <xf numFmtId="0" fontId="29" fillId="0" borderId="9" xfId="12" applyFont="1" applyBorder="1" applyAlignment="1">
      <alignment vertical="center"/>
    </xf>
    <xf numFmtId="0" fontId="29" fillId="0" borderId="10" xfId="12" applyFont="1" applyBorder="1" applyAlignment="1">
      <alignment vertical="center"/>
    </xf>
    <xf numFmtId="0" fontId="29" fillId="0" borderId="0" xfId="12" applyFont="1" applyAlignment="1">
      <alignment vertical="center"/>
    </xf>
    <xf numFmtId="0" fontId="29" fillId="0" borderId="11" xfId="12" applyFont="1" applyBorder="1" applyAlignment="1">
      <alignment vertical="center"/>
    </xf>
    <xf numFmtId="165" fontId="23" fillId="0" borderId="2" xfId="0" applyNumberFormat="1" applyFont="1" applyBorder="1" applyAlignment="1">
      <alignment horizontal="right" vertical="center" wrapText="1"/>
    </xf>
    <xf numFmtId="165" fontId="23" fillId="0" borderId="3" xfId="0" applyNumberFormat="1" applyFont="1" applyBorder="1" applyAlignment="1">
      <alignment horizontal="right" vertical="center" wrapText="1"/>
    </xf>
    <xf numFmtId="0" fontId="23" fillId="0" borderId="3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right" vertical="center" wrapText="1"/>
    </xf>
    <xf numFmtId="0" fontId="23" fillId="0" borderId="3" xfId="0" applyFont="1" applyBorder="1" applyAlignment="1">
      <alignment horizontal="right" vertical="center" wrapText="1"/>
    </xf>
    <xf numFmtId="0" fontId="23" fillId="0" borderId="0" xfId="0" applyFont="1" applyAlignment="1">
      <alignment horizontal="left" vertical="top" wrapText="1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14" fontId="25" fillId="0" borderId="0" xfId="0" applyNumberFormat="1" applyFont="1" applyAlignment="1">
      <alignment horizontal="left"/>
    </xf>
    <xf numFmtId="0" fontId="23" fillId="0" borderId="5" xfId="11" applyFont="1" applyBorder="1" applyAlignment="1">
      <alignment horizontal="center" vertical="center"/>
    </xf>
    <xf numFmtId="0" fontId="23" fillId="0" borderId="0" xfId="11" applyFont="1" applyAlignment="1">
      <alignment horizontal="left" vertical="center"/>
    </xf>
    <xf numFmtId="0" fontId="26" fillId="0" borderId="6" xfId="0" applyFont="1" applyBorder="1" applyAlignment="1">
      <alignment horizontal="center" vertical="center"/>
    </xf>
    <xf numFmtId="0" fontId="23" fillId="0" borderId="0" xfId="11" applyFont="1" applyAlignment="1">
      <alignment horizontal="center" vertical="center"/>
    </xf>
    <xf numFmtId="14" fontId="23" fillId="0" borderId="0" xfId="0" applyNumberFormat="1" applyFont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top" wrapText="1"/>
    </xf>
    <xf numFmtId="0" fontId="16" fillId="0" borderId="0" xfId="0" applyFont="1" applyAlignment="1">
      <alignment horizontal="right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21" fillId="0" borderId="0" xfId="0" applyFont="1" applyAlignment="1">
      <alignment horizontal="left" vertical="top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 wrapText="1"/>
    </xf>
    <xf numFmtId="0" fontId="12" fillId="0" borderId="0" xfId="0" applyFont="1" applyAlignment="1">
      <alignment vertical="top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left" wrapText="1"/>
    </xf>
    <xf numFmtId="0" fontId="10" fillId="0" borderId="0" xfId="0" applyFont="1" applyAlignment="1">
      <alignment vertical="top" wrapText="1"/>
    </xf>
    <xf numFmtId="0" fontId="1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top" wrapText="1"/>
    </xf>
    <xf numFmtId="0" fontId="21" fillId="2" borderId="3" xfId="0" applyFont="1" applyFill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29" fillId="0" borderId="12" xfId="12" applyFont="1" applyBorder="1" applyAlignment="1">
      <alignment horizontal="center" vertical="center" wrapText="1"/>
    </xf>
    <xf numFmtId="0" fontId="29" fillId="0" borderId="13" xfId="12" applyFont="1" applyBorder="1" applyAlignment="1">
      <alignment horizontal="center" vertical="center" wrapText="1"/>
    </xf>
    <xf numFmtId="14" fontId="29" fillId="0" borderId="12" xfId="12" applyNumberFormat="1" applyFont="1" applyBorder="1" applyAlignment="1">
      <alignment horizontal="center" vertical="center"/>
    </xf>
    <xf numFmtId="14" fontId="29" fillId="0" borderId="13" xfId="12" applyNumberFormat="1" applyFont="1" applyBorder="1" applyAlignment="1">
      <alignment horizontal="center" vertical="center"/>
    </xf>
    <xf numFmtId="0" fontId="29" fillId="0" borderId="12" xfId="12" applyFont="1" applyBorder="1" applyAlignment="1">
      <alignment horizontal="center" vertical="center"/>
    </xf>
    <xf numFmtId="0" fontId="29" fillId="0" borderId="13" xfId="12" applyFont="1" applyBorder="1" applyAlignment="1">
      <alignment horizontal="center" vertical="center"/>
    </xf>
    <xf numFmtId="2" fontId="29" fillId="0" borderId="12" xfId="12" applyNumberFormat="1" applyFont="1" applyBorder="1" applyAlignment="1">
      <alignment horizontal="center" vertical="center"/>
    </xf>
    <xf numFmtId="14" fontId="29" fillId="0" borderId="12" xfId="12" applyNumberFormat="1" applyFont="1" applyBorder="1" applyAlignment="1">
      <alignment horizontal="center" vertical="center" wrapText="1"/>
    </xf>
    <xf numFmtId="14" fontId="29" fillId="0" borderId="13" xfId="12" applyNumberFormat="1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/>
    </xf>
  </cellXfs>
  <cellStyles count="13">
    <cellStyle name="Гиперссылка" xfId="2" builtinId="8"/>
    <cellStyle name="Обычный" xfId="0" builtinId="0"/>
    <cellStyle name="Обычный 2" xfId="1" xr:uid="{00000000-0005-0000-0000-000002000000}"/>
    <cellStyle name="Обычный 2 2" xfId="3" xr:uid="{00000000-0005-0000-0000-000003000000}"/>
    <cellStyle name="Обычный 2 2 2" xfId="5" xr:uid="{00000000-0005-0000-0000-000004000000}"/>
    <cellStyle name="Обычный 2 2 2 2" xfId="9" xr:uid="{00000000-0005-0000-0000-000005000000}"/>
    <cellStyle name="Обычный 2 2 3" xfId="7" xr:uid="{00000000-0005-0000-0000-000006000000}"/>
    <cellStyle name="Обычный 2 3" xfId="4" xr:uid="{00000000-0005-0000-0000-000007000000}"/>
    <cellStyle name="Обычный 2 3 2" xfId="8" xr:uid="{00000000-0005-0000-0000-000008000000}"/>
    <cellStyle name="Обычный 2 4" xfId="6" xr:uid="{00000000-0005-0000-0000-000009000000}"/>
    <cellStyle name="Обычный 2 5" xfId="10" xr:uid="{00000000-0005-0000-0000-00000A000000}"/>
    <cellStyle name="Обычный 3" xfId="11" xr:uid="{AEEE581A-898E-47B8-9840-E412FD98078A}"/>
    <cellStyle name="Обычный 4" xfId="12" xr:uid="{528C1583-07C5-40A3-A361-6AF902F912F4}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1066801</xdr:colOff>
      <xdr:row>0</xdr:row>
      <xdr:rowOff>0</xdr:rowOff>
    </xdr:from>
    <xdr:to>
      <xdr:col>11</xdr:col>
      <xdr:colOff>19051</xdr:colOff>
      <xdr:row>7</xdr:row>
      <xdr:rowOff>104775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986F22D6-029D-498B-B5D5-5402F2649C42}"/>
            </a:ext>
          </a:extLst>
        </xdr:cNvPr>
        <xdr:cNvSpPr txBox="1">
          <a:spLocks noChangeArrowheads="1"/>
        </xdr:cNvSpPr>
      </xdr:nvSpPr>
      <xdr:spPr bwMode="auto">
        <a:xfrm>
          <a:off x="1971676" y="0"/>
          <a:ext cx="5257800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Испытательная лаборатория ООО «ГЛАВЛАБГРУПП»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ИНН/КПП 7724484743/772401001, ОГРН 1197746472802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Адрес: 115304, г. Москва, ул. Каспийская, дом 22, корпус 1, стр. 5, эт. 1, пом. 1, ком 5 и 5а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Аттестат аккредитации №РОСС </a:t>
          </a:r>
          <a:r>
            <a:rPr lang="en-US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RU.31112.</a:t>
          </a: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И002015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Срок действия до 24 июня 2026 года</a:t>
          </a:r>
          <a:r>
            <a:rPr lang="ru-RU" sz="10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  <a:p>
          <a:pPr>
            <a:lnSpc>
              <a:spcPct val="150000"/>
            </a:lnSpc>
            <a:spcAft>
              <a:spcPts val="800"/>
            </a:spcAft>
          </a:pPr>
          <a:r>
            <a:rPr lang="ru-RU" sz="10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47625</xdr:colOff>
      <xdr:row>9</xdr:row>
      <xdr:rowOff>95250</xdr:rowOff>
    </xdr:from>
    <xdr:to>
      <xdr:col>18</xdr:col>
      <xdr:colOff>400051</xdr:colOff>
      <xdr:row>10</xdr:row>
      <xdr:rowOff>177703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E01C0AC-8355-4E35-A627-5BFA9B84F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8050" y="1543050"/>
          <a:ext cx="4619626" cy="263428"/>
        </a:xfrm>
        <a:prstGeom prst="rect">
          <a:avLst/>
        </a:prstGeom>
      </xdr:spPr>
    </xdr:pic>
    <xdr:clientData/>
  </xdr:twoCellAnchor>
  <xdr:twoCellAnchor editAs="oneCell">
    <xdr:from>
      <xdr:col>12</xdr:col>
      <xdr:colOff>272084</xdr:colOff>
      <xdr:row>41</xdr:row>
      <xdr:rowOff>161925</xdr:rowOff>
    </xdr:from>
    <xdr:to>
      <xdr:col>19</xdr:col>
      <xdr:colOff>534768</xdr:colOff>
      <xdr:row>44</xdr:row>
      <xdr:rowOff>152400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894D5B3-0219-4379-A381-19214CA0D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2109" y="6200775"/>
          <a:ext cx="4529884" cy="10191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53</xdr:row>
      <xdr:rowOff>133350</xdr:rowOff>
    </xdr:from>
    <xdr:to>
      <xdr:col>26</xdr:col>
      <xdr:colOff>180006</xdr:colOff>
      <xdr:row>59</xdr:row>
      <xdr:rowOff>37962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15CFA5F-71B1-4B5A-851A-EE8DBE90C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0450" y="9991725"/>
          <a:ext cx="7752381" cy="11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15435</xdr:colOff>
      <xdr:row>1</xdr:row>
      <xdr:rowOff>163569</xdr:rowOff>
    </xdr:from>
    <xdr:ext cx="4123013" cy="1155693"/>
    <xdr:pic>
      <xdr:nvPicPr>
        <xdr:cNvPr id="2" name="Рисунок 1">
          <a:extLst>
            <a:ext uri="{FF2B5EF4-FFF2-40B4-BE49-F238E27FC236}">
              <a16:creationId xmlns:a16="http://schemas.microsoft.com/office/drawing/2014/main" id="{3D52ECF0-CF24-4DD7-996A-663D23EF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8401" y="4991759"/>
          <a:ext cx="4123013" cy="1155693"/>
        </a:xfrm>
        <a:prstGeom prst="rect">
          <a:avLst/>
        </a:prstGeom>
      </xdr:spPr>
    </xdr:pic>
    <xdr:clientData/>
  </xdr:oneCellAnchor>
  <xdr:twoCellAnchor editAs="oneCell">
    <xdr:from>
      <xdr:col>26</xdr:col>
      <xdr:colOff>198055</xdr:colOff>
      <xdr:row>13</xdr:row>
      <xdr:rowOff>24815</xdr:rowOff>
    </xdr:from>
    <xdr:to>
      <xdr:col>32</xdr:col>
      <xdr:colOff>387570</xdr:colOff>
      <xdr:row>19</xdr:row>
      <xdr:rowOff>121299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D545736-13C7-4C20-B9DF-D67006250A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4049"/>
        <a:stretch/>
      </xdr:blipFill>
      <xdr:spPr>
        <a:xfrm>
          <a:off x="8265730" y="2501315"/>
          <a:ext cx="3847115" cy="11251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450172</xdr:colOff>
      <xdr:row>0</xdr:row>
      <xdr:rowOff>39415</xdr:rowOff>
    </xdr:from>
    <xdr:ext cx="2371396" cy="840827"/>
    <xdr:pic>
      <xdr:nvPicPr>
        <xdr:cNvPr id="2" name="Рисунок 1">
          <a:extLst>
            <a:ext uri="{FF2B5EF4-FFF2-40B4-BE49-F238E27FC236}">
              <a16:creationId xmlns:a16="http://schemas.microsoft.com/office/drawing/2014/main" id="{43C6DC62-05A8-4EFF-A1A7-9F46CD6B3A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93422" y="39415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397618</xdr:colOff>
      <xdr:row>0</xdr:row>
      <xdr:rowOff>52551</xdr:rowOff>
    </xdr:from>
    <xdr:ext cx="2371396" cy="840827"/>
    <xdr:pic>
      <xdr:nvPicPr>
        <xdr:cNvPr id="3" name="Рисунок 2">
          <a:extLst>
            <a:ext uri="{FF2B5EF4-FFF2-40B4-BE49-F238E27FC236}">
              <a16:creationId xmlns:a16="http://schemas.microsoft.com/office/drawing/2014/main" id="{034A39ED-0E14-4496-B074-FA053BC989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97618" y="5255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8</xdr:row>
      <xdr:rowOff>47296</xdr:rowOff>
    </xdr:from>
    <xdr:ext cx="2371396" cy="840827"/>
    <xdr:pic>
      <xdr:nvPicPr>
        <xdr:cNvPr id="4" name="Рисунок 3">
          <a:extLst>
            <a:ext uri="{FF2B5EF4-FFF2-40B4-BE49-F238E27FC236}">
              <a16:creationId xmlns:a16="http://schemas.microsoft.com/office/drawing/2014/main" id="{11F7EBD5-EEBC-41FB-B062-C1C5D2EECE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219042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8</xdr:row>
      <xdr:rowOff>47697</xdr:rowOff>
    </xdr:from>
    <xdr:ext cx="2371396" cy="840827"/>
    <xdr:pic>
      <xdr:nvPicPr>
        <xdr:cNvPr id="5" name="Рисунок 4">
          <a:extLst>
            <a:ext uri="{FF2B5EF4-FFF2-40B4-BE49-F238E27FC236}">
              <a16:creationId xmlns:a16="http://schemas.microsoft.com/office/drawing/2014/main" id="{DB32C5BA-18E7-420D-9BAF-88ABD6308C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2190822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450172</xdr:colOff>
      <xdr:row>16</xdr:row>
      <xdr:rowOff>39415</xdr:rowOff>
    </xdr:from>
    <xdr:ext cx="2371396" cy="840827"/>
    <xdr:pic>
      <xdr:nvPicPr>
        <xdr:cNvPr id="6" name="Рисунок 5">
          <a:extLst>
            <a:ext uri="{FF2B5EF4-FFF2-40B4-BE49-F238E27FC236}">
              <a16:creationId xmlns:a16="http://schemas.microsoft.com/office/drawing/2014/main" id="{FDD7C0E3-D10D-408E-BBFB-4973152F83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93422" y="4325665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397618</xdr:colOff>
      <xdr:row>16</xdr:row>
      <xdr:rowOff>52551</xdr:rowOff>
    </xdr:from>
    <xdr:ext cx="2371396" cy="840827"/>
    <xdr:pic>
      <xdr:nvPicPr>
        <xdr:cNvPr id="7" name="Рисунок 6">
          <a:extLst>
            <a:ext uri="{FF2B5EF4-FFF2-40B4-BE49-F238E27FC236}">
              <a16:creationId xmlns:a16="http://schemas.microsoft.com/office/drawing/2014/main" id="{92F3F849-79E4-4ED6-9203-A4D73BFF3A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97618" y="433880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24</xdr:row>
      <xdr:rowOff>47296</xdr:rowOff>
    </xdr:from>
    <xdr:ext cx="2371396" cy="840827"/>
    <xdr:pic>
      <xdr:nvPicPr>
        <xdr:cNvPr id="8" name="Рисунок 7">
          <a:extLst>
            <a:ext uri="{FF2B5EF4-FFF2-40B4-BE49-F238E27FC236}">
              <a16:creationId xmlns:a16="http://schemas.microsoft.com/office/drawing/2014/main" id="{B8F0E8B6-4A3E-4522-B795-56D532EEF4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647667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24</xdr:row>
      <xdr:rowOff>47697</xdr:rowOff>
    </xdr:from>
    <xdr:ext cx="2371396" cy="840827"/>
    <xdr:pic>
      <xdr:nvPicPr>
        <xdr:cNvPr id="9" name="Рисунок 8">
          <a:extLst>
            <a:ext uri="{FF2B5EF4-FFF2-40B4-BE49-F238E27FC236}">
              <a16:creationId xmlns:a16="http://schemas.microsoft.com/office/drawing/2014/main" id="{AAA86E43-3D4A-4608-8E42-15E5FEE08A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6477072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450172</xdr:colOff>
      <xdr:row>32</xdr:row>
      <xdr:rowOff>39415</xdr:rowOff>
    </xdr:from>
    <xdr:ext cx="2371396" cy="840827"/>
    <xdr:pic>
      <xdr:nvPicPr>
        <xdr:cNvPr id="10" name="Рисунок 9">
          <a:extLst>
            <a:ext uri="{FF2B5EF4-FFF2-40B4-BE49-F238E27FC236}">
              <a16:creationId xmlns:a16="http://schemas.microsoft.com/office/drawing/2014/main" id="{6B782F75-6900-400D-AC60-293E37D70C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93422" y="8611915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397618</xdr:colOff>
      <xdr:row>32</xdr:row>
      <xdr:rowOff>52551</xdr:rowOff>
    </xdr:from>
    <xdr:ext cx="2371396" cy="840827"/>
    <xdr:pic>
      <xdr:nvPicPr>
        <xdr:cNvPr id="11" name="Рисунок 10">
          <a:extLst>
            <a:ext uri="{FF2B5EF4-FFF2-40B4-BE49-F238E27FC236}">
              <a16:creationId xmlns:a16="http://schemas.microsoft.com/office/drawing/2014/main" id="{6301077F-026D-4973-A3F9-07B183EFD6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97618" y="862505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40</xdr:row>
      <xdr:rowOff>47296</xdr:rowOff>
    </xdr:from>
    <xdr:ext cx="2371396" cy="840827"/>
    <xdr:pic>
      <xdr:nvPicPr>
        <xdr:cNvPr id="12" name="Рисунок 11">
          <a:extLst>
            <a:ext uri="{FF2B5EF4-FFF2-40B4-BE49-F238E27FC236}">
              <a16:creationId xmlns:a16="http://schemas.microsoft.com/office/drawing/2014/main" id="{2B3053BE-6BD9-448A-88D7-24A15DA780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1076292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40</xdr:row>
      <xdr:rowOff>47697</xdr:rowOff>
    </xdr:from>
    <xdr:ext cx="2371396" cy="840827"/>
    <xdr:pic>
      <xdr:nvPicPr>
        <xdr:cNvPr id="13" name="Рисунок 12">
          <a:extLst>
            <a:ext uri="{FF2B5EF4-FFF2-40B4-BE49-F238E27FC236}">
              <a16:creationId xmlns:a16="http://schemas.microsoft.com/office/drawing/2014/main" id="{E4713F25-40D3-4809-8E7A-19F987CF1E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10763322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72</xdr:row>
      <xdr:rowOff>47296</xdr:rowOff>
    </xdr:from>
    <xdr:ext cx="2371396" cy="840827"/>
    <xdr:pic>
      <xdr:nvPicPr>
        <xdr:cNvPr id="14" name="Рисунок 13">
          <a:extLst>
            <a:ext uri="{FF2B5EF4-FFF2-40B4-BE49-F238E27FC236}">
              <a16:creationId xmlns:a16="http://schemas.microsoft.com/office/drawing/2014/main" id="{3605641F-7EF0-4EC6-95D2-60203B7AEF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1933542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72</xdr:row>
      <xdr:rowOff>47697</xdr:rowOff>
    </xdr:from>
    <xdr:ext cx="2371396" cy="840827"/>
    <xdr:pic>
      <xdr:nvPicPr>
        <xdr:cNvPr id="15" name="Рисунок 14">
          <a:extLst>
            <a:ext uri="{FF2B5EF4-FFF2-40B4-BE49-F238E27FC236}">
              <a16:creationId xmlns:a16="http://schemas.microsoft.com/office/drawing/2014/main" id="{36B6C14D-B8D9-4BED-9A06-F30B378223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19335822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48</xdr:row>
      <xdr:rowOff>47296</xdr:rowOff>
    </xdr:from>
    <xdr:ext cx="2371396" cy="840827"/>
    <xdr:pic>
      <xdr:nvPicPr>
        <xdr:cNvPr id="16" name="Рисунок 15">
          <a:extLst>
            <a:ext uri="{FF2B5EF4-FFF2-40B4-BE49-F238E27FC236}">
              <a16:creationId xmlns:a16="http://schemas.microsoft.com/office/drawing/2014/main" id="{D63DAEC1-1B42-4593-B7AE-9981370FD2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12906046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48</xdr:row>
      <xdr:rowOff>47697</xdr:rowOff>
    </xdr:from>
    <xdr:ext cx="2371396" cy="840827"/>
    <xdr:pic>
      <xdr:nvPicPr>
        <xdr:cNvPr id="17" name="Рисунок 16">
          <a:extLst>
            <a:ext uri="{FF2B5EF4-FFF2-40B4-BE49-F238E27FC236}">
              <a16:creationId xmlns:a16="http://schemas.microsoft.com/office/drawing/2014/main" id="{200DC173-DF26-415F-BBF0-49922CC98D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12906447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56</xdr:row>
      <xdr:rowOff>47296</xdr:rowOff>
    </xdr:from>
    <xdr:ext cx="2371396" cy="840827"/>
    <xdr:pic>
      <xdr:nvPicPr>
        <xdr:cNvPr id="18" name="Рисунок 17">
          <a:extLst>
            <a:ext uri="{FF2B5EF4-FFF2-40B4-BE49-F238E27FC236}">
              <a16:creationId xmlns:a16="http://schemas.microsoft.com/office/drawing/2014/main" id="{4F55211A-D902-453B-B0FB-2B75107767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1504917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56</xdr:row>
      <xdr:rowOff>47697</xdr:rowOff>
    </xdr:from>
    <xdr:ext cx="2371396" cy="840827"/>
    <xdr:pic>
      <xdr:nvPicPr>
        <xdr:cNvPr id="19" name="Рисунок 18">
          <a:extLst>
            <a:ext uri="{FF2B5EF4-FFF2-40B4-BE49-F238E27FC236}">
              <a16:creationId xmlns:a16="http://schemas.microsoft.com/office/drawing/2014/main" id="{2036F9CA-2E60-4DE5-AB68-E46C951B6B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15049572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64</xdr:row>
      <xdr:rowOff>47296</xdr:rowOff>
    </xdr:from>
    <xdr:ext cx="2371396" cy="840827"/>
    <xdr:pic>
      <xdr:nvPicPr>
        <xdr:cNvPr id="20" name="Рисунок 19">
          <a:extLst>
            <a:ext uri="{FF2B5EF4-FFF2-40B4-BE49-F238E27FC236}">
              <a16:creationId xmlns:a16="http://schemas.microsoft.com/office/drawing/2014/main" id="{671B2C69-DCC2-49B2-B3EA-E80CB66316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17192296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64</xdr:row>
      <xdr:rowOff>47697</xdr:rowOff>
    </xdr:from>
    <xdr:ext cx="2371396" cy="840827"/>
    <xdr:pic>
      <xdr:nvPicPr>
        <xdr:cNvPr id="21" name="Рисунок 20">
          <a:extLst>
            <a:ext uri="{FF2B5EF4-FFF2-40B4-BE49-F238E27FC236}">
              <a16:creationId xmlns:a16="http://schemas.microsoft.com/office/drawing/2014/main" id="{C609A80D-941C-4244-B50E-A92983B581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17192697"/>
          <a:ext cx="2371396" cy="840827"/>
        </a:xfrm>
        <a:prstGeom prst="rect">
          <a:avLst/>
        </a:prstGeom>
        <a:noFill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&#1041;&#1045;&#1058;&#1054;&#1053;\%23&#1060;&#1054;&#1056;&#1052;&#1040;&#1058;&#1050;&#1048;\&#1053;&#1072;&#1075;&#1088;&#1091;&#1079;&#1082;&#1080;\&#1069;&#1082;&#1089;&#1087;&#1083;&#1091;&#1090;&#1072;&#1094;&#1080;&#1086;&#1085;&#1085;&#1099;&#1077;%20&#1085;&#1072;&#1075;&#1088;&#1091;&#1079;&#1082;&#1080;%20(&#1083;&#1077;&#1089;&#1090;&#1085;&#1080;&#1094;&#1099;,%20&#1086;&#1075;&#1088;&#1072;&#1078;&#1076;&#1077;&#1085;&#1080;&#1103;).xlsx" TargetMode="External"/><Relationship Id="rId1" Type="http://schemas.openxmlformats.org/officeDocument/2006/relationships/externalLinkPath" Target="&#1069;&#1082;&#1089;&#1087;&#1083;&#1091;&#1090;&#1072;&#1094;&#1080;&#1086;&#1085;&#1085;&#1099;&#1077;%20&#1085;&#1072;&#1075;&#1088;&#1091;&#1079;&#1082;&#1080;%20(&#1083;&#1077;&#1089;&#1090;&#1085;&#1080;&#1094;&#1099;,%20&#1086;&#1075;&#1088;&#1072;&#1078;&#1076;&#1077;&#1085;&#1080;&#1103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AA89-4E5C-42A7-B24D-60D0897EB0D1}">
  <sheetPr codeName="Лист1">
    <tabColor rgb="FF92D050"/>
  </sheetPr>
  <dimension ref="A1:Z87"/>
  <sheetViews>
    <sheetView showWhiteSpace="0" view="pageBreakPreview" topLeftCell="A17" zoomScaleNormal="100" zoomScaleSheetLayoutView="100" workbookViewId="0">
      <selection activeCell="J44" sqref="J44:K44"/>
    </sheetView>
  </sheetViews>
  <sheetFormatPr defaultColWidth="9.140625" defaultRowHeight="15" x14ac:dyDescent="0.25"/>
  <cols>
    <col min="1" max="1" width="11.5703125" customWidth="1"/>
    <col min="2" max="2" width="8.140625" customWidth="1"/>
    <col min="3" max="3" width="9.85546875" customWidth="1"/>
    <col min="4" max="4" width="8.28515625" customWidth="1"/>
    <col min="5" max="7" width="9.85546875" customWidth="1"/>
    <col min="8" max="8" width="11.140625" customWidth="1"/>
    <col min="9" max="11" width="9.85546875" customWidth="1"/>
    <col min="21" max="26" width="5.7109375" customWidth="1"/>
  </cols>
  <sheetData>
    <row r="1" spans="1:11" ht="10.5" customHeight="1" x14ac:dyDescent="0.25">
      <c r="I1" s="3"/>
      <c r="J1" s="4"/>
      <c r="K1" s="5"/>
    </row>
    <row r="2" spans="1:11" ht="10.5" customHeight="1" x14ac:dyDescent="0.25">
      <c r="I2" s="3"/>
      <c r="J2" s="6"/>
      <c r="K2" s="5"/>
    </row>
    <row r="3" spans="1:11" ht="10.5" customHeight="1" x14ac:dyDescent="0.25">
      <c r="E3" s="8"/>
      <c r="F3" s="7"/>
      <c r="G3" s="8"/>
      <c r="H3" s="8"/>
      <c r="I3" s="8"/>
      <c r="J3" s="8"/>
      <c r="K3" s="9"/>
    </row>
    <row r="4" spans="1:11" ht="10.5" customHeight="1" x14ac:dyDescent="0.25">
      <c r="E4" s="11"/>
      <c r="F4" s="10"/>
      <c r="G4" s="11"/>
      <c r="H4" s="11"/>
      <c r="I4" s="11"/>
      <c r="J4" s="11"/>
      <c r="K4" s="12"/>
    </row>
    <row r="5" spans="1:11" ht="13.5" customHeight="1" x14ac:dyDescent="0.25">
      <c r="A5" s="13"/>
      <c r="B5" s="13"/>
      <c r="C5" s="13"/>
      <c r="D5" s="13"/>
      <c r="E5" s="11"/>
      <c r="F5" s="14"/>
      <c r="G5" s="11"/>
      <c r="H5" s="11"/>
      <c r="I5" s="11"/>
      <c r="J5" s="11"/>
      <c r="K5" s="12"/>
    </row>
    <row r="6" spans="1:11" x14ac:dyDescent="0.25">
      <c r="A6" s="15"/>
      <c r="B6" s="16"/>
      <c r="J6" s="3"/>
      <c r="K6" s="17"/>
    </row>
    <row r="7" spans="1:11" x14ac:dyDescent="0.25">
      <c r="A7" s="18"/>
      <c r="B7" s="16"/>
      <c r="J7" s="19"/>
      <c r="K7" s="17"/>
    </row>
    <row r="8" spans="1:11" ht="14.25" customHeight="1" x14ac:dyDescent="0.25">
      <c r="A8" s="1"/>
      <c r="B8" s="1"/>
      <c r="C8" s="1"/>
      <c r="D8" s="1"/>
      <c r="E8" s="2"/>
      <c r="F8" s="1"/>
      <c r="G8" s="2"/>
      <c r="H8" s="2"/>
      <c r="I8" s="122"/>
      <c r="J8" s="122"/>
      <c r="K8" s="2"/>
    </row>
    <row r="9" spans="1:11" ht="14.25" customHeight="1" x14ac:dyDescent="0.25">
      <c r="A9" s="1"/>
      <c r="B9" s="1"/>
      <c r="C9" s="1"/>
      <c r="D9" s="1"/>
      <c r="E9" s="2"/>
      <c r="F9" s="1"/>
      <c r="G9" s="2"/>
      <c r="H9" s="2"/>
      <c r="I9" s="122"/>
      <c r="J9" s="122"/>
      <c r="K9" s="2"/>
    </row>
    <row r="10" spans="1:11" ht="14.25" customHeight="1" x14ac:dyDescent="0.25">
      <c r="A10" s="123" t="s">
        <v>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2"/>
    </row>
    <row r="11" spans="1:11" ht="15" customHeight="1" x14ac:dyDescent="0.25">
      <c r="A11" s="124" t="s">
        <v>8</v>
      </c>
      <c r="B11" s="124"/>
      <c r="C11" s="124"/>
      <c r="D11" s="124"/>
      <c r="E11" s="124"/>
      <c r="F11" s="124"/>
      <c r="G11" s="124"/>
      <c r="H11" s="124"/>
      <c r="I11" s="124"/>
      <c r="J11" s="124"/>
    </row>
    <row r="12" spans="1:11" ht="15" customHeight="1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</row>
    <row r="13" spans="1:11" ht="15.75" customHeight="1" x14ac:dyDescent="0.25">
      <c r="A13" s="125" t="s">
        <v>12</v>
      </c>
      <c r="B13" s="125"/>
      <c r="C13" s="125"/>
      <c r="D13" s="126" t="s">
        <v>13</v>
      </c>
      <c r="E13" s="126"/>
      <c r="F13" s="126"/>
      <c r="G13" s="126"/>
      <c r="H13" s="126"/>
      <c r="I13" s="126"/>
      <c r="J13" s="126"/>
      <c r="K13" s="126"/>
    </row>
    <row r="14" spans="1:11" ht="15.75" customHeight="1" x14ac:dyDescent="0.25">
      <c r="A14" s="125" t="s">
        <v>0</v>
      </c>
      <c r="B14" s="125"/>
      <c r="C14" s="125"/>
      <c r="D14" s="127"/>
      <c r="E14" s="127"/>
      <c r="F14" s="127"/>
      <c r="G14" s="127"/>
      <c r="H14" s="127"/>
      <c r="I14" s="127"/>
      <c r="J14" s="127"/>
      <c r="K14" s="127"/>
    </row>
    <row r="15" spans="1:11" ht="15.75" customHeight="1" x14ac:dyDescent="0.25">
      <c r="A15" s="128" t="s">
        <v>26</v>
      </c>
      <c r="B15" s="129"/>
      <c r="C15" s="129"/>
      <c r="D15" s="127"/>
      <c r="E15" s="127"/>
      <c r="F15" s="127"/>
      <c r="G15" s="127"/>
      <c r="H15" s="127"/>
      <c r="I15" s="127"/>
      <c r="J15" s="127"/>
      <c r="K15" s="127"/>
    </row>
    <row r="16" spans="1:11" ht="15.75" customHeight="1" x14ac:dyDescent="0.25">
      <c r="A16" s="128" t="s">
        <v>25</v>
      </c>
      <c r="B16" s="129"/>
      <c r="C16" s="129"/>
      <c r="D16" s="127"/>
      <c r="E16" s="127"/>
      <c r="F16" s="127"/>
      <c r="G16" s="127"/>
      <c r="H16" s="127"/>
      <c r="I16" s="127"/>
      <c r="J16" s="127"/>
      <c r="K16" s="127"/>
    </row>
    <row r="17" spans="1:26" ht="15.75" customHeight="1" x14ac:dyDescent="0.25">
      <c r="A17" s="128" t="s">
        <v>18</v>
      </c>
      <c r="B17" s="128"/>
      <c r="C17" s="128"/>
      <c r="D17" s="26"/>
      <c r="E17" s="26"/>
      <c r="F17" s="26"/>
      <c r="G17" s="26"/>
      <c r="H17" s="26"/>
      <c r="I17" s="26"/>
      <c r="J17" s="26"/>
      <c r="K17" s="26"/>
    </row>
    <row r="18" spans="1:26" ht="15.75" customHeight="1" x14ac:dyDescent="0.25">
      <c r="A18" s="125" t="s">
        <v>24</v>
      </c>
      <c r="B18" s="125"/>
      <c r="C18" s="125"/>
      <c r="D18" s="130" t="s">
        <v>27</v>
      </c>
      <c r="E18" s="130"/>
      <c r="F18" s="130"/>
      <c r="G18" s="130"/>
      <c r="H18" s="130"/>
      <c r="I18" s="130"/>
      <c r="J18" s="130"/>
      <c r="K18" s="130"/>
    </row>
    <row r="19" spans="1:26" ht="15.75" customHeight="1" x14ac:dyDescent="0.25">
      <c r="A19" s="128" t="s">
        <v>11</v>
      </c>
      <c r="B19" s="128"/>
      <c r="C19" s="128"/>
      <c r="D19" s="131" t="s">
        <v>9</v>
      </c>
      <c r="E19" s="131"/>
      <c r="F19" s="131"/>
      <c r="G19" s="131"/>
      <c r="H19" s="131"/>
      <c r="I19" s="131"/>
      <c r="J19" s="131"/>
      <c r="K19" s="131"/>
    </row>
    <row r="20" spans="1:26" ht="15.75" customHeight="1" x14ac:dyDescent="0.25">
      <c r="A20" s="132" t="s">
        <v>14</v>
      </c>
      <c r="B20" s="132"/>
      <c r="C20" s="132"/>
      <c r="D20" s="132"/>
      <c r="E20" s="132"/>
      <c r="F20" s="132"/>
      <c r="G20" s="132"/>
      <c r="H20" s="132"/>
      <c r="I20" s="132"/>
      <c r="J20" s="132"/>
      <c r="K20" s="132"/>
    </row>
    <row r="21" spans="1:26" ht="15.75" customHeight="1" x14ac:dyDescent="0.25">
      <c r="A21" s="125" t="s">
        <v>2</v>
      </c>
      <c r="B21" s="125"/>
      <c r="C21" s="125"/>
      <c r="D21" s="133" t="s">
        <v>10</v>
      </c>
      <c r="E21" s="133"/>
      <c r="F21" s="133"/>
      <c r="G21" s="133"/>
      <c r="H21" s="133"/>
      <c r="I21" s="133"/>
      <c r="J21" s="133"/>
      <c r="K21" s="133"/>
    </row>
    <row r="22" spans="1:26" ht="15" customHeight="1" x14ac:dyDescent="0.25">
      <c r="A22" s="134" t="s">
        <v>31</v>
      </c>
      <c r="B22" s="134"/>
      <c r="C22" s="134"/>
      <c r="D22" s="134"/>
      <c r="E22" s="134"/>
      <c r="F22" s="134"/>
      <c r="G22" s="134"/>
      <c r="H22" s="134"/>
      <c r="I22" s="134"/>
      <c r="J22" s="134"/>
      <c r="K22" s="134"/>
    </row>
    <row r="23" spans="1:26" ht="15" customHeight="1" x14ac:dyDescent="0.25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</row>
    <row r="24" spans="1:26" ht="10.5" customHeight="1" x14ac:dyDescent="0.25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</row>
    <row r="25" spans="1:26" ht="29.25" customHeight="1" x14ac:dyDescent="0.25">
      <c r="A25" s="128" t="s">
        <v>28</v>
      </c>
      <c r="B25" s="128"/>
      <c r="C25" s="128"/>
      <c r="D25" s="134" t="s">
        <v>29</v>
      </c>
      <c r="E25" s="134"/>
      <c r="F25" s="128"/>
      <c r="G25" s="128"/>
      <c r="H25" s="128"/>
      <c r="I25" s="128"/>
      <c r="J25" s="128"/>
      <c r="K25" s="128"/>
    </row>
    <row r="26" spans="1:26" ht="15" customHeight="1" x14ac:dyDescent="0.25">
      <c r="A26" s="128" t="s">
        <v>46</v>
      </c>
      <c r="B26" s="128"/>
      <c r="C26" s="128"/>
      <c r="D26" s="29"/>
      <c r="E26" s="29"/>
      <c r="F26" s="29"/>
      <c r="G26" s="29"/>
      <c r="H26" s="29"/>
      <c r="I26" s="29"/>
      <c r="J26" s="29"/>
      <c r="K26" s="29"/>
    </row>
    <row r="27" spans="1:26" ht="42.75" customHeight="1" x14ac:dyDescent="0.25">
      <c r="A27" s="33" t="s">
        <v>52</v>
      </c>
      <c r="B27" s="138" t="s">
        <v>17</v>
      </c>
      <c r="C27" s="139"/>
      <c r="D27" s="33" t="s">
        <v>15</v>
      </c>
      <c r="E27" s="33" t="s">
        <v>16</v>
      </c>
      <c r="F27" s="33" t="s">
        <v>23</v>
      </c>
      <c r="G27" s="33" t="s">
        <v>19</v>
      </c>
      <c r="H27" s="33" t="s">
        <v>30</v>
      </c>
      <c r="I27" s="138" t="s">
        <v>32</v>
      </c>
      <c r="J27" s="140"/>
      <c r="K27" s="139"/>
      <c r="L27" s="27"/>
      <c r="N27" t="s">
        <v>56</v>
      </c>
    </row>
    <row r="28" spans="1:26" ht="45" customHeight="1" x14ac:dyDescent="0.25">
      <c r="A28" s="41">
        <v>46059</v>
      </c>
      <c r="B28" s="102" t="s">
        <v>21</v>
      </c>
      <c r="C28" s="104"/>
      <c r="D28" s="40" t="s">
        <v>22</v>
      </c>
      <c r="E28" s="40" t="s">
        <v>20</v>
      </c>
      <c r="F28" s="40">
        <v>15</v>
      </c>
      <c r="G28" s="40">
        <v>36</v>
      </c>
      <c r="H28" s="40">
        <v>300</v>
      </c>
      <c r="I28" s="102" t="s">
        <v>33</v>
      </c>
      <c r="J28" s="103"/>
      <c r="K28" s="104"/>
      <c r="L28" s="27"/>
      <c r="N28" s="43">
        <f ca="1">RANDBETWEEN(450,500)/10</f>
        <v>50</v>
      </c>
      <c r="O28" s="36"/>
    </row>
    <row r="29" spans="1:26" ht="15.75" customHeight="1" x14ac:dyDescent="0.25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</row>
    <row r="30" spans="1:26" s="45" customFormat="1" ht="15.75" hidden="1" customHeight="1" x14ac:dyDescent="0.25">
      <c r="A30" s="44"/>
      <c r="B30" s="142" t="s">
        <v>53</v>
      </c>
      <c r="C30" s="142"/>
      <c r="D30" s="142"/>
      <c r="E30" s="142"/>
      <c r="F30" s="142"/>
      <c r="G30" s="142"/>
      <c r="H30" s="142"/>
      <c r="I30" s="142"/>
      <c r="J30" s="142"/>
      <c r="K30" s="142"/>
    </row>
    <row r="31" spans="1:26" s="45" customFormat="1" ht="25.5" hidden="1" x14ac:dyDescent="0.25">
      <c r="A31" s="46" t="s">
        <v>54</v>
      </c>
      <c r="B31" s="47" t="s">
        <v>55</v>
      </c>
      <c r="C31" s="47" t="s">
        <v>57</v>
      </c>
      <c r="D31" s="46"/>
      <c r="E31" s="46"/>
      <c r="F31" s="46"/>
      <c r="G31" s="46"/>
      <c r="H31" s="46"/>
      <c r="I31" s="46"/>
      <c r="J31" s="46"/>
      <c r="K31" s="46"/>
    </row>
    <row r="32" spans="1:26" s="45" customFormat="1" ht="15.75" hidden="1" customHeight="1" x14ac:dyDescent="0.25">
      <c r="A32" s="46">
        <v>1</v>
      </c>
      <c r="B32" s="48">
        <f ca="1">RANDBETWEEN(450,500)/10</f>
        <v>48</v>
      </c>
      <c r="C32" s="46"/>
      <c r="D32" s="46"/>
      <c r="E32" s="46"/>
      <c r="F32" s="46"/>
      <c r="G32" s="46"/>
      <c r="H32" s="49"/>
      <c r="I32" s="50"/>
      <c r="J32" s="50"/>
      <c r="K32" s="50"/>
      <c r="L32" s="51">
        <v>1</v>
      </c>
      <c r="M32" s="135" t="s">
        <v>40</v>
      </c>
      <c r="N32" s="136"/>
      <c r="O32" s="137"/>
      <c r="T32" s="52" t="s">
        <v>43</v>
      </c>
      <c r="U32" s="52"/>
      <c r="V32" s="52"/>
      <c r="W32" s="52"/>
      <c r="X32" s="52"/>
      <c r="Y32" s="52"/>
      <c r="Z32" s="52"/>
    </row>
    <row r="33" spans="1:26" s="45" customFormat="1" ht="15.75" hidden="1" customHeight="1" x14ac:dyDescent="0.25">
      <c r="A33" s="46">
        <v>2</v>
      </c>
      <c r="B33" s="48">
        <f t="shared" ref="B33:B41" ca="1" si="0">RANDBETWEEN(450,500)/10</f>
        <v>45.4</v>
      </c>
      <c r="C33" s="53"/>
      <c r="D33" s="53"/>
      <c r="E33" s="53"/>
      <c r="F33" s="53"/>
      <c r="G33" s="53"/>
      <c r="H33" s="53"/>
      <c r="I33" s="53"/>
      <c r="J33" s="53"/>
      <c r="K33" s="53"/>
      <c r="L33" s="51">
        <v>2</v>
      </c>
      <c r="M33" s="135" t="s">
        <v>42</v>
      </c>
      <c r="N33" s="136"/>
      <c r="O33" s="137"/>
      <c r="T33" s="52">
        <v>1</v>
      </c>
      <c r="U33" s="52"/>
      <c r="V33" s="52"/>
      <c r="W33" s="52"/>
      <c r="X33" s="52"/>
      <c r="Y33" s="52"/>
      <c r="Z33" s="52"/>
    </row>
    <row r="34" spans="1:26" s="45" customFormat="1" ht="15.75" hidden="1" customHeight="1" x14ac:dyDescent="0.25">
      <c r="A34" s="46">
        <v>3</v>
      </c>
      <c r="B34" s="48">
        <f t="shared" ca="1" si="0"/>
        <v>48.7</v>
      </c>
      <c r="C34" s="53"/>
      <c r="D34" s="53"/>
      <c r="E34" s="53"/>
      <c r="F34" s="53"/>
      <c r="G34" s="53"/>
      <c r="H34" s="53"/>
      <c r="I34" s="53"/>
      <c r="J34" s="53"/>
      <c r="K34" s="53"/>
      <c r="L34" s="51">
        <v>3</v>
      </c>
      <c r="M34" s="135" t="s">
        <v>41</v>
      </c>
      <c r="N34" s="136"/>
      <c r="O34" s="137"/>
      <c r="T34" s="52">
        <v>2</v>
      </c>
      <c r="U34" s="52"/>
      <c r="V34" s="52"/>
      <c r="W34" s="52"/>
      <c r="X34" s="52"/>
      <c r="Y34" s="52"/>
      <c r="Z34" s="52"/>
    </row>
    <row r="35" spans="1:26" s="45" customFormat="1" ht="15.75" hidden="1" customHeight="1" x14ac:dyDescent="0.25">
      <c r="A35" s="46">
        <v>4</v>
      </c>
      <c r="B35" s="48">
        <f t="shared" ca="1" si="0"/>
        <v>48.6</v>
      </c>
      <c r="C35" s="53"/>
      <c r="D35" s="53"/>
      <c r="E35" s="53"/>
      <c r="F35" s="53"/>
      <c r="G35" s="53"/>
      <c r="H35" s="53"/>
      <c r="I35" s="53"/>
      <c r="J35" s="53"/>
      <c r="K35" s="53"/>
      <c r="T35" s="52">
        <v>3</v>
      </c>
      <c r="U35" s="52"/>
      <c r="V35" s="52"/>
      <c r="W35" s="52"/>
      <c r="X35" s="52"/>
      <c r="Y35" s="52"/>
      <c r="Z35" s="52"/>
    </row>
    <row r="36" spans="1:26" s="45" customFormat="1" ht="15.75" hidden="1" customHeight="1" x14ac:dyDescent="0.25">
      <c r="A36" s="46">
        <v>5</v>
      </c>
      <c r="B36" s="48">
        <f t="shared" ca="1" si="0"/>
        <v>47.4</v>
      </c>
      <c r="C36" s="53"/>
      <c r="D36" s="53"/>
      <c r="E36" s="53"/>
      <c r="F36" s="53"/>
      <c r="G36" s="53"/>
      <c r="H36" s="53"/>
      <c r="I36" s="53"/>
      <c r="J36" s="53"/>
      <c r="K36" s="53"/>
      <c r="T36" s="52">
        <v>4</v>
      </c>
      <c r="U36" s="52"/>
      <c r="V36" s="52"/>
      <c r="W36" s="52"/>
      <c r="X36" s="52"/>
      <c r="Y36" s="52"/>
      <c r="Z36" s="52"/>
    </row>
    <row r="37" spans="1:26" s="45" customFormat="1" ht="15.75" hidden="1" customHeight="1" x14ac:dyDescent="0.25">
      <c r="A37" s="46">
        <v>6</v>
      </c>
      <c r="B37" s="48">
        <f t="shared" ca="1" si="0"/>
        <v>46.6</v>
      </c>
      <c r="C37" s="53"/>
      <c r="D37" s="53"/>
      <c r="E37" s="53"/>
      <c r="F37" s="53"/>
      <c r="G37" s="53"/>
      <c r="H37" s="53"/>
      <c r="I37" s="53"/>
      <c r="J37" s="53"/>
      <c r="K37" s="53"/>
      <c r="L37" s="51">
        <v>1</v>
      </c>
      <c r="M37" s="135" t="s">
        <v>40</v>
      </c>
      <c r="N37" s="136"/>
      <c r="O37" s="137"/>
      <c r="T37" s="52">
        <v>5</v>
      </c>
      <c r="U37" s="52"/>
      <c r="V37" s="52"/>
      <c r="W37" s="52"/>
      <c r="X37" s="52"/>
      <c r="Y37" s="52"/>
      <c r="Z37" s="52"/>
    </row>
    <row r="38" spans="1:26" s="45" customFormat="1" ht="15.75" hidden="1" customHeight="1" x14ac:dyDescent="0.25">
      <c r="A38" s="46">
        <v>7</v>
      </c>
      <c r="B38" s="48">
        <f t="shared" ca="1" si="0"/>
        <v>48.9</v>
      </c>
      <c r="C38" s="53"/>
      <c r="D38" s="53"/>
      <c r="E38" s="53"/>
      <c r="F38" s="53"/>
      <c r="G38" s="53"/>
      <c r="H38" s="53"/>
      <c r="I38" s="53"/>
      <c r="J38" s="53"/>
      <c r="K38" s="53"/>
      <c r="L38" s="51">
        <v>2</v>
      </c>
      <c r="M38" s="135" t="s">
        <v>42</v>
      </c>
      <c r="N38" s="136"/>
      <c r="O38" s="137"/>
      <c r="T38" s="52">
        <v>6</v>
      </c>
      <c r="U38" s="52"/>
      <c r="V38" s="52"/>
      <c r="W38" s="52"/>
      <c r="X38" s="52"/>
      <c r="Y38" s="52"/>
      <c r="Z38" s="52"/>
    </row>
    <row r="39" spans="1:26" s="45" customFormat="1" ht="15.75" hidden="1" customHeight="1" x14ac:dyDescent="0.25">
      <c r="A39" s="46">
        <v>8</v>
      </c>
      <c r="B39" s="48">
        <f t="shared" ca="1" si="0"/>
        <v>46.8</v>
      </c>
      <c r="C39" s="53"/>
      <c r="D39" s="53"/>
      <c r="E39" s="53"/>
      <c r="F39" s="53"/>
      <c r="G39" s="53"/>
      <c r="H39" s="53"/>
      <c r="I39" s="53"/>
      <c r="J39" s="53"/>
      <c r="K39" s="53"/>
      <c r="L39" s="51">
        <v>3</v>
      </c>
      <c r="M39" s="135" t="s">
        <v>41</v>
      </c>
      <c r="N39" s="136"/>
      <c r="O39" s="137"/>
      <c r="T39" s="52">
        <v>7</v>
      </c>
      <c r="U39" s="52"/>
      <c r="V39" s="52"/>
      <c r="W39" s="52"/>
      <c r="X39" s="52"/>
      <c r="Y39" s="52"/>
      <c r="Z39" s="52"/>
    </row>
    <row r="40" spans="1:26" s="45" customFormat="1" ht="15.75" hidden="1" customHeight="1" x14ac:dyDescent="0.25">
      <c r="A40" s="46">
        <v>9</v>
      </c>
      <c r="B40" s="48">
        <f t="shared" ca="1" si="0"/>
        <v>49.2</v>
      </c>
      <c r="C40" s="53"/>
      <c r="D40" s="53"/>
      <c r="E40" s="53"/>
      <c r="F40" s="53"/>
      <c r="G40" s="53"/>
      <c r="H40" s="53"/>
      <c r="I40" s="53"/>
      <c r="J40" s="53"/>
      <c r="K40" s="53"/>
      <c r="T40" s="52">
        <v>8</v>
      </c>
      <c r="U40" s="52"/>
      <c r="V40" s="52"/>
      <c r="W40" s="52"/>
      <c r="X40" s="52"/>
      <c r="Y40" s="52"/>
      <c r="Z40" s="52"/>
    </row>
    <row r="41" spans="1:26" s="45" customFormat="1" ht="15.75" hidden="1" customHeight="1" x14ac:dyDescent="0.25">
      <c r="A41" s="46">
        <v>10</v>
      </c>
      <c r="B41" s="48">
        <f t="shared" ca="1" si="0"/>
        <v>46.8</v>
      </c>
      <c r="C41" s="53"/>
      <c r="D41" s="53"/>
      <c r="E41" s="53"/>
      <c r="F41" s="53"/>
      <c r="G41" s="53"/>
      <c r="H41" s="53"/>
      <c r="I41" s="53"/>
      <c r="J41" s="53"/>
      <c r="K41" s="53"/>
      <c r="T41" s="52">
        <v>9</v>
      </c>
      <c r="U41" s="52"/>
      <c r="V41" s="52"/>
      <c r="W41" s="52"/>
      <c r="X41" s="52"/>
      <c r="Y41" s="52"/>
      <c r="Z41" s="52"/>
    </row>
    <row r="42" spans="1:26" s="45" customFormat="1" ht="15.75" hidden="1" customHeight="1" x14ac:dyDescent="0.25">
      <c r="A42" s="54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1">
        <v>1</v>
      </c>
      <c r="M42" s="135" t="s">
        <v>40</v>
      </c>
      <c r="N42" s="136"/>
      <c r="O42" s="137"/>
      <c r="T42" s="52">
        <v>10</v>
      </c>
      <c r="U42" s="52"/>
      <c r="V42" s="52"/>
      <c r="W42" s="52"/>
      <c r="X42" s="52"/>
      <c r="Y42" s="52"/>
      <c r="Z42" s="52"/>
    </row>
    <row r="43" spans="1:26" ht="15.75" customHeight="1" x14ac:dyDescent="0.25">
      <c r="A43" s="141" t="s">
        <v>47</v>
      </c>
      <c r="B43" s="141"/>
      <c r="C43" s="128"/>
      <c r="D43" s="128"/>
      <c r="E43" s="128"/>
      <c r="F43" s="128"/>
      <c r="G43" s="128"/>
      <c r="H43" s="128"/>
      <c r="I43" s="128"/>
      <c r="J43" s="128"/>
      <c r="K43" s="128"/>
      <c r="T43" s="36">
        <v>15</v>
      </c>
      <c r="U43" s="36"/>
      <c r="V43" s="36"/>
      <c r="W43" s="36"/>
      <c r="X43" s="36"/>
      <c r="Y43" s="36"/>
      <c r="Z43" s="36"/>
    </row>
    <row r="44" spans="1:26" ht="52.5" customHeight="1" x14ac:dyDescent="0.25">
      <c r="A44" s="143" t="s">
        <v>34</v>
      </c>
      <c r="B44" s="143"/>
      <c r="C44" s="144" t="s">
        <v>35</v>
      </c>
      <c r="D44" s="145"/>
      <c r="E44" s="39" t="s">
        <v>48</v>
      </c>
      <c r="F44" s="39" t="s">
        <v>51</v>
      </c>
      <c r="G44" s="39" t="s">
        <v>50</v>
      </c>
      <c r="H44" s="39" t="s">
        <v>49</v>
      </c>
      <c r="I44" s="39" t="s">
        <v>44</v>
      </c>
      <c r="J44" s="143" t="s">
        <v>45</v>
      </c>
      <c r="K44" s="143"/>
      <c r="T44" s="36"/>
      <c r="U44" s="36"/>
      <c r="V44" s="36"/>
      <c r="W44" s="36"/>
      <c r="X44" s="36"/>
      <c r="Y44" s="36"/>
      <c r="Z44" s="36"/>
    </row>
    <row r="45" spans="1:26" ht="52.5" customHeight="1" x14ac:dyDescent="0.25">
      <c r="A45" s="144">
        <v>1</v>
      </c>
      <c r="B45" s="145"/>
      <c r="C45" s="144">
        <v>2</v>
      </c>
      <c r="D45" s="145"/>
      <c r="E45" s="39">
        <v>3</v>
      </c>
      <c r="F45" s="39">
        <v>4</v>
      </c>
      <c r="G45" s="39">
        <v>5</v>
      </c>
      <c r="H45" s="39">
        <v>6</v>
      </c>
      <c r="I45" s="39">
        <v>7</v>
      </c>
      <c r="J45" s="39"/>
      <c r="K45" s="39"/>
    </row>
    <row r="46" spans="1:26" x14ac:dyDescent="0.25">
      <c r="A46" s="146">
        <f ca="1">AVERAGE(B32:B41)</f>
        <v>47.64</v>
      </c>
      <c r="B46" s="147"/>
      <c r="C46" s="147" t="e">
        <f ca="1">1/A46*SQRT((B32-A46)^2/MAX(A32:A41)-1)</f>
        <v>#NUM!</v>
      </c>
      <c r="D46" s="147"/>
      <c r="E46" s="28"/>
      <c r="F46" s="38"/>
      <c r="G46" s="38"/>
      <c r="H46" s="38"/>
      <c r="I46" s="42"/>
      <c r="J46" s="148"/>
      <c r="K46" s="148"/>
    </row>
    <row r="47" spans="1:26" x14ac:dyDescent="0.25">
      <c r="A47" s="31"/>
      <c r="B47" s="31"/>
      <c r="C47" s="31"/>
      <c r="D47" s="31"/>
      <c r="E47" s="35"/>
      <c r="F47" s="34"/>
      <c r="G47" s="34"/>
      <c r="H47" s="34"/>
      <c r="I47" s="30"/>
      <c r="J47" s="30"/>
      <c r="K47" s="30"/>
    </row>
    <row r="48" spans="1:26" ht="30" customHeight="1" x14ac:dyDescent="0.25">
      <c r="A48" s="31"/>
      <c r="B48" s="31"/>
      <c r="C48" s="31"/>
      <c r="D48" s="31"/>
      <c r="E48" s="37"/>
      <c r="F48" s="34"/>
      <c r="G48" s="34"/>
      <c r="H48" s="34"/>
      <c r="I48" s="30"/>
      <c r="J48" s="30"/>
      <c r="K48" s="30"/>
    </row>
    <row r="49" spans="1:25" x14ac:dyDescent="0.25">
      <c r="A49" s="134" t="s">
        <v>36</v>
      </c>
      <c r="B49" s="134"/>
      <c r="C49" s="134"/>
      <c r="D49" s="134"/>
      <c r="E49" s="35"/>
      <c r="F49" s="34"/>
      <c r="G49" s="34"/>
      <c r="H49" s="34"/>
      <c r="I49" s="30"/>
      <c r="J49" s="30"/>
      <c r="K49" s="30"/>
    </row>
    <row r="50" spans="1:25" ht="15.75" customHeight="1" x14ac:dyDescent="0.25">
      <c r="A50" s="134" t="s">
        <v>37</v>
      </c>
      <c r="B50" s="134"/>
      <c r="C50" s="134"/>
      <c r="D50" s="134"/>
      <c r="E50" s="35"/>
      <c r="F50" s="34"/>
      <c r="G50" s="34"/>
      <c r="H50" s="34"/>
      <c r="I50" s="30"/>
      <c r="J50" s="30"/>
      <c r="K50" s="30"/>
    </row>
    <row r="51" spans="1:25" ht="31.5" customHeight="1" x14ac:dyDescent="0.25">
      <c r="A51" s="134" t="s">
        <v>38</v>
      </c>
      <c r="B51" s="134"/>
      <c r="C51" s="134"/>
      <c r="D51" s="134"/>
      <c r="E51" s="35"/>
      <c r="F51" s="34"/>
      <c r="G51" s="34"/>
      <c r="H51" s="34"/>
      <c r="I51" s="30"/>
      <c r="J51" s="30"/>
      <c r="K51" s="30"/>
    </row>
    <row r="52" spans="1:25" ht="29.25" customHeight="1" x14ac:dyDescent="0.25">
      <c r="A52" s="134" t="s">
        <v>39</v>
      </c>
      <c r="B52" s="134"/>
      <c r="C52" s="134"/>
      <c r="D52" s="134"/>
      <c r="E52" s="35"/>
      <c r="F52" s="34"/>
      <c r="G52" s="34"/>
      <c r="H52" s="34"/>
      <c r="I52" s="30"/>
      <c r="J52" s="30"/>
      <c r="K52" s="30"/>
    </row>
    <row r="53" spans="1:25" ht="15.75" customHeight="1" x14ac:dyDescent="0.25">
      <c r="A53" s="149" t="s">
        <v>6</v>
      </c>
      <c r="B53" s="149"/>
      <c r="C53" s="149"/>
      <c r="D53" s="149"/>
      <c r="E53" s="149"/>
      <c r="F53" s="149"/>
      <c r="G53" s="150" t="s">
        <v>5</v>
      </c>
      <c r="H53" s="150"/>
      <c r="I53" s="150"/>
      <c r="J53" s="150"/>
      <c r="K53" s="20"/>
    </row>
    <row r="54" spans="1:25" ht="15.75" customHeight="1" x14ac:dyDescent="0.25">
      <c r="A54" s="21"/>
      <c r="B54" s="21"/>
      <c r="C54" s="21"/>
      <c r="D54" s="21"/>
      <c r="E54" s="24"/>
      <c r="F54" s="21"/>
      <c r="G54" s="24"/>
      <c r="H54" s="24"/>
      <c r="I54" s="24"/>
      <c r="J54" s="24"/>
      <c r="K54" s="20"/>
    </row>
    <row r="55" spans="1:25" ht="15.75" customHeight="1" x14ac:dyDescent="0.25">
      <c r="A55" s="149" t="s">
        <v>3</v>
      </c>
      <c r="B55" s="149"/>
      <c r="C55" s="149"/>
      <c r="D55" s="149"/>
      <c r="E55" s="149"/>
      <c r="F55" s="149"/>
      <c r="G55" s="149"/>
      <c r="K55" s="20"/>
      <c r="M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 ht="15.75" customHeight="1" x14ac:dyDescent="0.25">
      <c r="A56" s="21"/>
      <c r="B56" s="23"/>
      <c r="C56" s="23"/>
      <c r="D56" s="23"/>
      <c r="E56" s="24"/>
      <c r="F56" s="23"/>
      <c r="G56" s="24"/>
      <c r="H56" s="24"/>
      <c r="I56" s="24"/>
      <c r="J56" s="24"/>
      <c r="K56" s="20"/>
      <c r="M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 ht="15.75" customHeight="1" x14ac:dyDescent="0.25">
      <c r="A57" s="149" t="s">
        <v>4</v>
      </c>
      <c r="B57" s="149"/>
      <c r="C57" s="149"/>
      <c r="D57" s="23"/>
      <c r="E57" s="23"/>
      <c r="F57" s="23"/>
      <c r="G57" s="150" t="s">
        <v>5</v>
      </c>
      <c r="H57" s="150"/>
      <c r="I57" s="150"/>
      <c r="J57" s="150"/>
      <c r="K57" s="20"/>
      <c r="M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 ht="15.75" customHeight="1" x14ac:dyDescent="0.25">
      <c r="A58" s="23"/>
      <c r="B58" s="23"/>
      <c r="C58" s="23"/>
      <c r="D58" s="23"/>
      <c r="F58" s="23"/>
      <c r="G58" s="24"/>
      <c r="M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 ht="15.75" customHeight="1" x14ac:dyDescent="0.25">
      <c r="A59" s="149" t="s">
        <v>4</v>
      </c>
      <c r="B59" s="149"/>
      <c r="C59" s="149"/>
      <c r="G59" s="150" t="s">
        <v>5</v>
      </c>
      <c r="H59" s="150"/>
      <c r="I59" s="150"/>
      <c r="J59" s="150"/>
      <c r="K59" s="20"/>
      <c r="M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0"/>
    </row>
    <row r="61" spans="1:25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</row>
    <row r="62" spans="1:25" ht="14.1" customHeight="1" x14ac:dyDescent="0.25"/>
    <row r="63" spans="1:25" ht="14.1" customHeight="1" x14ac:dyDescent="0.25"/>
    <row r="64" spans="1:25" ht="14.1" customHeight="1" x14ac:dyDescent="0.25"/>
    <row r="65" spans="8:9" ht="14.1" customHeight="1" x14ac:dyDescent="0.25"/>
    <row r="66" spans="8:9" ht="14.1" customHeight="1" x14ac:dyDescent="0.25"/>
    <row r="67" spans="8:9" ht="14.1" customHeight="1" x14ac:dyDescent="0.25"/>
    <row r="68" spans="8:9" ht="14.1" customHeight="1" x14ac:dyDescent="0.25"/>
    <row r="69" spans="8:9" ht="14.1" customHeight="1" x14ac:dyDescent="0.25"/>
    <row r="70" spans="8:9" ht="14.1" customHeight="1" x14ac:dyDescent="0.25"/>
    <row r="71" spans="8:9" ht="14.1" customHeight="1" x14ac:dyDescent="0.25"/>
    <row r="72" spans="8:9" ht="14.1" customHeight="1" x14ac:dyDescent="0.25"/>
    <row r="73" spans="8:9" ht="14.1" customHeight="1" x14ac:dyDescent="0.25"/>
    <row r="74" spans="8:9" ht="14.1" customHeight="1" x14ac:dyDescent="0.25"/>
    <row r="75" spans="8:9" ht="14.1" customHeight="1" x14ac:dyDescent="0.25"/>
    <row r="79" spans="8:9" x14ac:dyDescent="0.25">
      <c r="H79">
        <v>1</v>
      </c>
      <c r="I79">
        <v>10</v>
      </c>
    </row>
    <row r="80" spans="8:9" x14ac:dyDescent="0.25">
      <c r="H80">
        <v>2</v>
      </c>
      <c r="I80">
        <v>25</v>
      </c>
    </row>
    <row r="81" spans="8:9" x14ac:dyDescent="0.25">
      <c r="H81">
        <v>3</v>
      </c>
      <c r="I81">
        <v>29</v>
      </c>
    </row>
    <row r="82" spans="8:9" x14ac:dyDescent="0.25">
      <c r="H82">
        <v>34</v>
      </c>
      <c r="I82">
        <v>30</v>
      </c>
    </row>
    <row r="83" spans="8:9" x14ac:dyDescent="0.25">
      <c r="H83">
        <v>4</v>
      </c>
      <c r="I83">
        <v>30</v>
      </c>
    </row>
    <row r="84" spans="8:9" x14ac:dyDescent="0.25">
      <c r="H84">
        <v>5</v>
      </c>
      <c r="I84">
        <v>31</v>
      </c>
    </row>
    <row r="85" spans="8:9" x14ac:dyDescent="0.25">
      <c r="H85">
        <v>5</v>
      </c>
      <c r="I85">
        <v>31</v>
      </c>
    </row>
    <row r="86" spans="8:9" x14ac:dyDescent="0.25">
      <c r="H86">
        <v>6</v>
      </c>
    </row>
    <row r="87" spans="8:9" x14ac:dyDescent="0.25">
      <c r="H87">
        <v>5</v>
      </c>
    </row>
  </sheetData>
  <mergeCells count="57">
    <mergeCell ref="A59:C59"/>
    <mergeCell ref="G59:J59"/>
    <mergeCell ref="A52:D52"/>
    <mergeCell ref="A53:F53"/>
    <mergeCell ref="G53:J53"/>
    <mergeCell ref="A55:G55"/>
    <mergeCell ref="A57:C57"/>
    <mergeCell ref="G57:J57"/>
    <mergeCell ref="A51:D51"/>
    <mergeCell ref="M42:O42"/>
    <mergeCell ref="A43:K43"/>
    <mergeCell ref="A44:B44"/>
    <mergeCell ref="C44:D44"/>
    <mergeCell ref="J44:K44"/>
    <mergeCell ref="A45:B45"/>
    <mergeCell ref="C45:D45"/>
    <mergeCell ref="A46:B46"/>
    <mergeCell ref="C46:D46"/>
    <mergeCell ref="J46:K46"/>
    <mergeCell ref="A49:D49"/>
    <mergeCell ref="A50:D50"/>
    <mergeCell ref="M39:O39"/>
    <mergeCell ref="B27:C27"/>
    <mergeCell ref="I27:K27"/>
    <mergeCell ref="B28:C28"/>
    <mergeCell ref="I28:K28"/>
    <mergeCell ref="A29:K29"/>
    <mergeCell ref="B30:K30"/>
    <mergeCell ref="M32:O32"/>
    <mergeCell ref="M33:O33"/>
    <mergeCell ref="M34:O34"/>
    <mergeCell ref="M37:O37"/>
    <mergeCell ref="M38:O38"/>
    <mergeCell ref="A26:C26"/>
    <mergeCell ref="A17:C17"/>
    <mergeCell ref="A18:C18"/>
    <mergeCell ref="D18:K18"/>
    <mergeCell ref="A19:C19"/>
    <mergeCell ref="D19:K19"/>
    <mergeCell ref="A20:K20"/>
    <mergeCell ref="A21:C21"/>
    <mergeCell ref="D21:K21"/>
    <mergeCell ref="A22:K24"/>
    <mergeCell ref="A25:C25"/>
    <mergeCell ref="D25:K25"/>
    <mergeCell ref="A14:C14"/>
    <mergeCell ref="D14:K14"/>
    <mergeCell ref="A15:C15"/>
    <mergeCell ref="D15:K15"/>
    <mergeCell ref="A16:C16"/>
    <mergeCell ref="D16:K16"/>
    <mergeCell ref="I8:J8"/>
    <mergeCell ref="I9:J9"/>
    <mergeCell ref="A10:J10"/>
    <mergeCell ref="A11:J11"/>
    <mergeCell ref="A13:C13"/>
    <mergeCell ref="D13:K13"/>
  </mergeCells>
  <printOptions horizontalCentered="1"/>
  <pageMargins left="0" right="0" top="0.39370078740157483" bottom="0.55118110236220474" header="0.31496062992125984" footer="0.31496062992125984"/>
  <pageSetup paperSize="9" scale="95" orientation="portrait" r:id="rId1"/>
  <headerFooter scaleWithDoc="0">
    <oddHeader>&amp;C&amp;G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7405-D0EB-4177-9B45-85517080E178}">
  <sheetPr>
    <tabColor theme="8" tint="0.39997558519241921"/>
  </sheetPr>
  <dimension ref="A1:AP74"/>
  <sheetViews>
    <sheetView tabSelected="1" showWhiteSpace="0" view="pageBreakPreview" topLeftCell="A31" zoomScaleNormal="100" zoomScaleSheetLayoutView="100" workbookViewId="0">
      <selection activeCell="K47" sqref="K47:N47"/>
    </sheetView>
  </sheetViews>
  <sheetFormatPr defaultColWidth="9.140625" defaultRowHeight="15" x14ac:dyDescent="0.25"/>
  <cols>
    <col min="1" max="1" width="4.140625" customWidth="1"/>
    <col min="2" max="25" width="4.7109375" customWidth="1"/>
    <col min="26" max="26" width="3.7109375" customWidth="1"/>
    <col min="36" max="41" width="5.7109375" customWidth="1"/>
  </cols>
  <sheetData>
    <row r="1" spans="1:40" ht="15" customHeight="1" x14ac:dyDescent="0.25">
      <c r="A1" s="108" t="s">
        <v>68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56"/>
      <c r="AA1" s="27"/>
    </row>
    <row r="2" spans="1:40" ht="15" customHeight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24"/>
      <c r="AA2" s="76" t="s">
        <v>102</v>
      </c>
      <c r="AI2" s="32"/>
      <c r="AJ2" s="32"/>
      <c r="AK2" s="32"/>
      <c r="AL2" s="32"/>
      <c r="AM2" s="32"/>
      <c r="AN2" s="32"/>
    </row>
    <row r="3" spans="1:40" ht="15" customHeight="1" x14ac:dyDescent="0.25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55"/>
    </row>
    <row r="4" spans="1:40" ht="15" customHeight="1" x14ac:dyDescent="0.25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55"/>
      <c r="AD4" s="57"/>
      <c r="AE4" s="57"/>
      <c r="AF4" s="57"/>
      <c r="AG4" s="57"/>
    </row>
    <row r="5" spans="1:40" ht="15" customHeight="1" x14ac:dyDescent="0.25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55"/>
    </row>
    <row r="6" spans="1:40" ht="15" customHeight="1" x14ac:dyDescent="0.25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55"/>
    </row>
    <row r="7" spans="1:40" ht="15" customHeight="1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55"/>
    </row>
    <row r="8" spans="1:40" ht="15" customHeight="1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5"/>
    </row>
    <row r="9" spans="1:40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113" t="s">
        <v>72</v>
      </c>
      <c r="S9" s="113"/>
      <c r="T9" s="113"/>
      <c r="U9" s="113"/>
      <c r="V9" s="113"/>
      <c r="W9" s="113"/>
      <c r="X9" s="113"/>
      <c r="Y9" s="113"/>
      <c r="Z9" s="113"/>
    </row>
    <row r="10" spans="1:40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69" t="s">
        <v>6</v>
      </c>
      <c r="S10" s="69"/>
      <c r="T10" s="69"/>
      <c r="U10" s="69"/>
      <c r="V10" s="69"/>
      <c r="W10" s="69"/>
      <c r="X10" s="69"/>
      <c r="Y10" s="69"/>
      <c r="Z10" s="69"/>
      <c r="AE10" s="43" t="s">
        <v>97</v>
      </c>
      <c r="AF10" s="43" t="s">
        <v>98</v>
      </c>
    </row>
    <row r="11" spans="1:40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114"/>
      <c r="S11" s="114"/>
      <c r="T11" s="114"/>
      <c r="U11" s="114"/>
      <c r="V11" s="114"/>
      <c r="W11" s="115" t="s">
        <v>66</v>
      </c>
      <c r="X11" s="115"/>
      <c r="Y11" s="115"/>
      <c r="Z11" s="115"/>
      <c r="AB11" t="s">
        <v>95</v>
      </c>
      <c r="AE11" s="43">
        <f>ROUND((AE12*120)/(2.5*AC24)*1.5/100,2)</f>
        <v>3.24</v>
      </c>
      <c r="AF11" s="43">
        <f>AE11*100</f>
        <v>324</v>
      </c>
    </row>
    <row r="12" spans="1:40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116" t="s">
        <v>73</v>
      </c>
      <c r="S12" s="116"/>
      <c r="T12" s="116"/>
      <c r="U12" s="116"/>
      <c r="V12" s="116"/>
      <c r="W12" s="70"/>
      <c r="X12" s="71"/>
      <c r="Y12" s="71"/>
      <c r="Z12" s="69"/>
      <c r="AB12" t="s">
        <v>96</v>
      </c>
      <c r="AE12" s="43">
        <v>18</v>
      </c>
      <c r="AF12" s="43" t="s">
        <v>103</v>
      </c>
    </row>
    <row r="13" spans="1:40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117" t="str">
        <f>TEXT($G$23,"[$-FC19]«ДД» ММММ ГГГГ \г.")</f>
        <v>«05» февраля 2026 г.</v>
      </c>
      <c r="S13" s="117"/>
      <c r="T13" s="117"/>
      <c r="U13" s="117"/>
      <c r="V13" s="117"/>
      <c r="W13" s="70"/>
      <c r="X13" s="71"/>
      <c r="Y13" s="71"/>
      <c r="Z13" s="69"/>
    </row>
    <row r="14" spans="1:40" ht="15" customHeight="1" x14ac:dyDescent="0.25">
      <c r="A14" s="109" t="str">
        <f ca="1">"Протокол №"&amp;MID(CELL("filename",A1),SEARCH("]",CELL("filename"))+1,255)&amp;".ЭИ от "&amp;TEXT($G$23,"ДД.ММ.ГГГГ")&amp;""</f>
        <v>Протокол №Лестницы, ограждения.ЭИ от 05.02.2026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55"/>
    </row>
    <row r="15" spans="1:40" ht="15" customHeight="1" x14ac:dyDescent="0.25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55"/>
    </row>
    <row r="16" spans="1:40" ht="12.75" customHeight="1" x14ac:dyDescent="0.25">
      <c r="A16" s="111" t="s">
        <v>0</v>
      </c>
      <c r="B16" s="111"/>
      <c r="C16" s="111"/>
      <c r="D16" s="111"/>
      <c r="E16" s="111"/>
      <c r="F16" s="111"/>
      <c r="G16" s="112" t="s">
        <v>63</v>
      </c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55"/>
    </row>
    <row r="17" spans="1:32" ht="12.75" customHeight="1" x14ac:dyDescent="0.25">
      <c r="A17" s="111" t="s">
        <v>61</v>
      </c>
      <c r="B17" s="111"/>
      <c r="C17" s="111"/>
      <c r="D17" s="111"/>
      <c r="E17" s="111"/>
      <c r="F17" s="111"/>
      <c r="G17" s="112" t="s">
        <v>62</v>
      </c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55"/>
    </row>
    <row r="18" spans="1:32" ht="12.75" customHeight="1" x14ac:dyDescent="0.25">
      <c r="A18" s="111" t="s">
        <v>58</v>
      </c>
      <c r="B18" s="111"/>
      <c r="C18" s="111"/>
      <c r="D18" s="111"/>
      <c r="E18" s="111"/>
      <c r="F18" s="111"/>
      <c r="G18" s="96" t="s">
        <v>64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55"/>
    </row>
    <row r="19" spans="1:32" ht="12.75" customHeight="1" x14ac:dyDescent="0.25">
      <c r="A19" s="72"/>
      <c r="B19" s="72"/>
      <c r="C19" s="72"/>
      <c r="D19" s="72"/>
      <c r="E19" s="72"/>
      <c r="F19" s="72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55"/>
    </row>
    <row r="20" spans="1:32" ht="12.75" customHeight="1" x14ac:dyDescent="0.25">
      <c r="A20" s="111" t="s">
        <v>59</v>
      </c>
      <c r="B20" s="111"/>
      <c r="C20" s="111"/>
      <c r="D20" s="111"/>
      <c r="E20" s="111"/>
      <c r="F20" s="111"/>
      <c r="G20" s="96" t="s">
        <v>65</v>
      </c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55"/>
    </row>
    <row r="21" spans="1:32" ht="12.75" customHeight="1" x14ac:dyDescent="0.25">
      <c r="A21" s="72"/>
      <c r="B21" s="72"/>
      <c r="C21" s="72"/>
      <c r="D21" s="72"/>
      <c r="E21" s="72"/>
      <c r="F21" s="72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55"/>
    </row>
    <row r="22" spans="1:32" ht="12.75" customHeight="1" x14ac:dyDescent="0.25">
      <c r="A22" s="111" t="s">
        <v>71</v>
      </c>
      <c r="B22" s="111"/>
      <c r="C22" s="111"/>
      <c r="D22" s="111"/>
      <c r="E22" s="111"/>
      <c r="F22" s="111"/>
      <c r="G22" s="112" t="s">
        <v>94</v>
      </c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55"/>
      <c r="AB22" t="s">
        <v>99</v>
      </c>
      <c r="AC22" s="43">
        <v>0.5</v>
      </c>
      <c r="AE22" s="43" t="s">
        <v>97</v>
      </c>
      <c r="AF22" s="43" t="s">
        <v>98</v>
      </c>
    </row>
    <row r="23" spans="1:32" ht="12.75" customHeight="1" x14ac:dyDescent="0.25">
      <c r="A23" s="111" t="s">
        <v>60</v>
      </c>
      <c r="B23" s="111"/>
      <c r="C23" s="111"/>
      <c r="D23" s="111"/>
      <c r="E23" s="111"/>
      <c r="F23" s="111"/>
      <c r="G23" s="118">
        <v>46058</v>
      </c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55"/>
      <c r="AB23" t="s">
        <v>100</v>
      </c>
      <c r="AC23" s="43">
        <v>0.5</v>
      </c>
      <c r="AE23" s="43">
        <f>(((AC22*AC23)*1.2)/(0.5*AC24))*1.5</f>
        <v>0.22499999999999998</v>
      </c>
      <c r="AF23" s="43">
        <f>AE23*100</f>
        <v>22.499999999999996</v>
      </c>
    </row>
    <row r="24" spans="1:32" ht="12.75" customHeight="1" x14ac:dyDescent="0.25">
      <c r="A24" s="111" t="s">
        <v>69</v>
      </c>
      <c r="B24" s="111"/>
      <c r="C24" s="111"/>
      <c r="D24" s="111"/>
      <c r="E24" s="111"/>
      <c r="F24" s="111"/>
      <c r="G24" s="96" t="s">
        <v>79</v>
      </c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55"/>
      <c r="AB24" t="s">
        <v>101</v>
      </c>
      <c r="AC24" s="75">
        <v>4</v>
      </c>
    </row>
    <row r="25" spans="1:32" ht="12.75" customHeight="1" x14ac:dyDescent="0.25">
      <c r="A25" s="73"/>
      <c r="B25" s="73"/>
      <c r="C25" s="73"/>
      <c r="D25" s="73"/>
      <c r="E25" s="73"/>
      <c r="F25" s="73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55"/>
    </row>
    <row r="26" spans="1:32" ht="12.75" customHeight="1" x14ac:dyDescent="0.25">
      <c r="A26" s="111" t="s">
        <v>70</v>
      </c>
      <c r="B26" s="111"/>
      <c r="C26" s="111"/>
      <c r="D26" s="111"/>
      <c r="E26" s="111"/>
      <c r="F26" s="111"/>
      <c r="G26" s="96" t="s">
        <v>78</v>
      </c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34"/>
    </row>
    <row r="27" spans="1:32" ht="12.75" customHeight="1" x14ac:dyDescent="0.25">
      <c r="A27" s="73"/>
      <c r="B27" s="73"/>
      <c r="C27" s="73"/>
      <c r="D27" s="73"/>
      <c r="E27" s="73"/>
      <c r="F27" s="73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34"/>
    </row>
    <row r="28" spans="1:32" ht="12.75" customHeight="1" x14ac:dyDescent="0.25">
      <c r="A28" s="73"/>
      <c r="B28" s="73"/>
      <c r="C28" s="73"/>
      <c r="D28" s="73"/>
      <c r="E28" s="73"/>
      <c r="F28" s="73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34"/>
    </row>
    <row r="29" spans="1:32" ht="12.75" customHeight="1" x14ac:dyDescent="0.25">
      <c r="A29" s="72"/>
      <c r="B29" s="72"/>
      <c r="C29" s="72"/>
      <c r="D29" s="72"/>
      <c r="E29" s="72"/>
      <c r="F29" s="72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34"/>
    </row>
    <row r="30" spans="1:32" ht="12.75" customHeight="1" x14ac:dyDescent="0.25">
      <c r="A30" s="111" t="s">
        <v>80</v>
      </c>
      <c r="B30" s="111"/>
      <c r="C30" s="111"/>
      <c r="D30" s="111"/>
      <c r="E30" s="111"/>
      <c r="F30" s="111"/>
      <c r="G30" s="62" t="str">
        <f>"+20°C"</f>
        <v>+20°C</v>
      </c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34"/>
    </row>
    <row r="31" spans="1:32" ht="12.75" customHeight="1" x14ac:dyDescent="0.25">
      <c r="A31" s="74" t="s">
        <v>76</v>
      </c>
      <c r="B31" s="74"/>
      <c r="C31" s="74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34"/>
    </row>
    <row r="32" spans="1:32" ht="12.75" customHeight="1" x14ac:dyDescent="0.25">
      <c r="A32" s="119" t="s">
        <v>77</v>
      </c>
      <c r="B32" s="119"/>
      <c r="C32" s="119" t="s">
        <v>81</v>
      </c>
      <c r="D32" s="119"/>
      <c r="E32" s="119"/>
      <c r="F32" s="119"/>
      <c r="G32" s="119"/>
      <c r="H32" s="119"/>
      <c r="I32" s="119"/>
      <c r="J32" s="119"/>
      <c r="K32" s="120" t="s">
        <v>82</v>
      </c>
      <c r="L32" s="120"/>
      <c r="M32" s="120"/>
      <c r="N32" s="120"/>
      <c r="O32" s="120" t="s">
        <v>83</v>
      </c>
      <c r="P32" s="120"/>
      <c r="Q32" s="120"/>
      <c r="R32" s="120"/>
      <c r="S32" s="120"/>
      <c r="T32" s="120"/>
      <c r="U32" s="120"/>
      <c r="V32" s="120"/>
      <c r="W32" s="120" t="s">
        <v>84</v>
      </c>
      <c r="X32" s="120"/>
      <c r="Y32" s="120"/>
      <c r="Z32" s="34"/>
    </row>
    <row r="33" spans="1:26" ht="12.75" customHeight="1" x14ac:dyDescent="0.25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34"/>
    </row>
    <row r="34" spans="1:26" ht="12.75" customHeight="1" x14ac:dyDescent="0.25">
      <c r="A34" s="119">
        <v>1</v>
      </c>
      <c r="B34" s="119"/>
      <c r="C34" s="119">
        <v>2</v>
      </c>
      <c r="D34" s="119"/>
      <c r="E34" s="119"/>
      <c r="F34" s="119"/>
      <c r="G34" s="119"/>
      <c r="H34" s="119"/>
      <c r="I34" s="119"/>
      <c r="J34" s="119"/>
      <c r="K34" s="121">
        <v>3</v>
      </c>
      <c r="L34" s="121"/>
      <c r="M34" s="121"/>
      <c r="N34" s="121"/>
      <c r="O34" s="121">
        <v>4</v>
      </c>
      <c r="P34" s="121"/>
      <c r="Q34" s="121"/>
      <c r="R34" s="121"/>
      <c r="S34" s="121"/>
      <c r="T34" s="121"/>
      <c r="U34" s="121"/>
      <c r="V34" s="121"/>
      <c r="W34" s="121">
        <v>5</v>
      </c>
      <c r="X34" s="121"/>
      <c r="Y34" s="121"/>
      <c r="Z34" s="34"/>
    </row>
    <row r="35" spans="1:26" ht="12.75" customHeight="1" x14ac:dyDescent="0.25">
      <c r="A35" s="97" t="s">
        <v>92</v>
      </c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160"/>
      <c r="P35" s="160"/>
      <c r="Q35" s="160"/>
      <c r="R35" s="160"/>
      <c r="S35" s="160"/>
      <c r="T35" s="160"/>
      <c r="U35" s="160"/>
      <c r="V35" s="160"/>
      <c r="W35" s="98"/>
      <c r="X35" s="98"/>
      <c r="Y35" s="99"/>
      <c r="Z35" s="34"/>
    </row>
    <row r="36" spans="1:26" ht="12.75" customHeight="1" x14ac:dyDescent="0.25">
      <c r="A36" s="100">
        <v>1</v>
      </c>
      <c r="B36" s="100"/>
      <c r="C36" s="101" t="s">
        <v>85</v>
      </c>
      <c r="D36" s="100"/>
      <c r="E36" s="100"/>
      <c r="F36" s="100"/>
      <c r="G36" s="100"/>
      <c r="H36" s="100"/>
      <c r="I36" s="100"/>
      <c r="J36" s="100"/>
      <c r="K36" s="102">
        <v>1</v>
      </c>
      <c r="L36" s="103"/>
      <c r="M36" s="103"/>
      <c r="N36" s="103"/>
      <c r="O36" s="94">
        <v>1.8</v>
      </c>
      <c r="P36" s="95"/>
      <c r="Q36" s="95"/>
      <c r="R36" s="95"/>
      <c r="S36" s="92" t="str">
        <f>"(180)"</f>
        <v>(180)</v>
      </c>
      <c r="T36" s="92"/>
      <c r="U36" s="92"/>
      <c r="V36" s="93"/>
      <c r="W36" s="104" t="s">
        <v>104</v>
      </c>
      <c r="X36" s="101"/>
      <c r="Y36" s="101"/>
      <c r="Z36" s="34"/>
    </row>
    <row r="37" spans="1:26" ht="12.75" customHeight="1" x14ac:dyDescent="0.25">
      <c r="A37" s="100"/>
      <c r="B37" s="100"/>
      <c r="C37" s="101"/>
      <c r="D37" s="100"/>
      <c r="E37" s="100"/>
      <c r="F37" s="100"/>
      <c r="G37" s="100"/>
      <c r="H37" s="100"/>
      <c r="I37" s="100"/>
      <c r="J37" s="100"/>
      <c r="K37" s="102">
        <v>2</v>
      </c>
      <c r="L37" s="103"/>
      <c r="M37" s="103"/>
      <c r="N37" s="103"/>
      <c r="O37" s="94">
        <v>1.8</v>
      </c>
      <c r="P37" s="95"/>
      <c r="Q37" s="95"/>
      <c r="R37" s="95"/>
      <c r="S37" s="92" t="str">
        <f t="shared" ref="S37:S39" si="0">"(180)"</f>
        <v>(180)</v>
      </c>
      <c r="T37" s="92"/>
      <c r="U37" s="92"/>
      <c r="V37" s="93"/>
      <c r="W37" s="104" t="s">
        <v>104</v>
      </c>
      <c r="X37" s="101"/>
      <c r="Y37" s="101"/>
      <c r="Z37" s="34"/>
    </row>
    <row r="38" spans="1:26" ht="12.75" customHeight="1" x14ac:dyDescent="0.25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2">
        <v>3</v>
      </c>
      <c r="L38" s="103"/>
      <c r="M38" s="103"/>
      <c r="N38" s="103"/>
      <c r="O38" s="94">
        <v>1.8</v>
      </c>
      <c r="P38" s="95"/>
      <c r="Q38" s="95"/>
      <c r="R38" s="95"/>
      <c r="S38" s="92" t="str">
        <f t="shared" si="0"/>
        <v>(180)</v>
      </c>
      <c r="T38" s="92"/>
      <c r="U38" s="92"/>
      <c r="V38" s="93"/>
      <c r="W38" s="104" t="s">
        <v>104</v>
      </c>
      <c r="X38" s="101"/>
      <c r="Y38" s="101"/>
      <c r="Z38" s="34"/>
    </row>
    <row r="39" spans="1:26" ht="12.75" customHeight="1" x14ac:dyDescent="0.25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2">
        <v>4</v>
      </c>
      <c r="L39" s="103"/>
      <c r="M39" s="103"/>
      <c r="N39" s="103"/>
      <c r="O39" s="94">
        <v>1.8</v>
      </c>
      <c r="P39" s="95"/>
      <c r="Q39" s="95"/>
      <c r="R39" s="95"/>
      <c r="S39" s="92" t="str">
        <f t="shared" si="0"/>
        <v>(180)</v>
      </c>
      <c r="T39" s="92"/>
      <c r="U39" s="92"/>
      <c r="V39" s="93"/>
      <c r="W39" s="104" t="s">
        <v>104</v>
      </c>
      <c r="X39" s="101"/>
      <c r="Y39" s="101"/>
      <c r="Z39" s="34"/>
    </row>
    <row r="40" spans="1:26" ht="12.75" customHeight="1" x14ac:dyDescent="0.25">
      <c r="A40" s="100">
        <v>2</v>
      </c>
      <c r="B40" s="100"/>
      <c r="C40" s="101" t="s">
        <v>86</v>
      </c>
      <c r="D40" s="100"/>
      <c r="E40" s="100"/>
      <c r="F40" s="100"/>
      <c r="G40" s="100"/>
      <c r="H40" s="100"/>
      <c r="I40" s="100"/>
      <c r="J40" s="100"/>
      <c r="K40" s="102">
        <v>1</v>
      </c>
      <c r="L40" s="103"/>
      <c r="M40" s="103"/>
      <c r="N40" s="103"/>
      <c r="O40" s="94">
        <f>$AE$11</f>
        <v>3.24</v>
      </c>
      <c r="P40" s="95"/>
      <c r="Q40" s="95"/>
      <c r="R40" s="95"/>
      <c r="S40" s="92" t="str">
        <f>"("&amp;($AF$11)&amp;")"</f>
        <v>(324)</v>
      </c>
      <c r="T40" s="92"/>
      <c r="U40" s="92"/>
      <c r="V40" s="93"/>
      <c r="W40" s="104" t="s">
        <v>104</v>
      </c>
      <c r="X40" s="101"/>
      <c r="Y40" s="101"/>
      <c r="Z40" s="34"/>
    </row>
    <row r="41" spans="1:26" ht="12.75" customHeight="1" x14ac:dyDescent="0.25">
      <c r="A41" s="100"/>
      <c r="B41" s="100"/>
      <c r="C41" s="101"/>
      <c r="D41" s="100"/>
      <c r="E41" s="100"/>
      <c r="F41" s="100"/>
      <c r="G41" s="100"/>
      <c r="H41" s="100"/>
      <c r="I41" s="100"/>
      <c r="J41" s="100"/>
      <c r="K41" s="102">
        <v>2</v>
      </c>
      <c r="L41" s="103"/>
      <c r="M41" s="103"/>
      <c r="N41" s="103"/>
      <c r="O41" s="94">
        <f>$AE$11</f>
        <v>3.24</v>
      </c>
      <c r="P41" s="95"/>
      <c r="Q41" s="95"/>
      <c r="R41" s="95"/>
      <c r="S41" s="92" t="str">
        <f>"("&amp;($AF$11)&amp;")"</f>
        <v>(324)</v>
      </c>
      <c r="T41" s="92"/>
      <c r="U41" s="92"/>
      <c r="V41" s="93"/>
      <c r="W41" s="104" t="s">
        <v>104</v>
      </c>
      <c r="X41" s="101"/>
      <c r="Y41" s="101"/>
      <c r="Z41" s="34"/>
    </row>
    <row r="42" spans="1:26" ht="12.75" customHeight="1" x14ac:dyDescent="0.2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2">
        <v>3</v>
      </c>
      <c r="L42" s="103"/>
      <c r="M42" s="103"/>
      <c r="N42" s="103"/>
      <c r="O42" s="94">
        <f>$AE$11</f>
        <v>3.24</v>
      </c>
      <c r="P42" s="95"/>
      <c r="Q42" s="95"/>
      <c r="R42" s="95"/>
      <c r="S42" s="92" t="str">
        <f>"("&amp;($AF$11)&amp;")"</f>
        <v>(324)</v>
      </c>
      <c r="T42" s="92"/>
      <c r="U42" s="92"/>
      <c r="V42" s="93"/>
      <c r="W42" s="104" t="s">
        <v>104</v>
      </c>
      <c r="X42" s="101"/>
      <c r="Y42" s="101"/>
      <c r="Z42" s="34"/>
    </row>
    <row r="43" spans="1:26" ht="12.75" customHeight="1" x14ac:dyDescent="0.25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2">
        <v>4</v>
      </c>
      <c r="L43" s="103"/>
      <c r="M43" s="103"/>
      <c r="N43" s="103"/>
      <c r="O43" s="94">
        <f>$AE$11</f>
        <v>3.24</v>
      </c>
      <c r="P43" s="95"/>
      <c r="Q43" s="95"/>
      <c r="R43" s="95"/>
      <c r="S43" s="92" t="str">
        <f>"("&amp;($AF$11)&amp;")"</f>
        <v>(324)</v>
      </c>
      <c r="T43" s="92"/>
      <c r="U43" s="92"/>
      <c r="V43" s="93"/>
      <c r="W43" s="104" t="s">
        <v>104</v>
      </c>
      <c r="X43" s="101"/>
      <c r="Y43" s="101"/>
      <c r="Z43" s="34"/>
    </row>
    <row r="44" spans="1:26" ht="12.75" customHeight="1" x14ac:dyDescent="0.25">
      <c r="A44" s="100">
        <v>3</v>
      </c>
      <c r="B44" s="100"/>
      <c r="C44" s="101" t="s">
        <v>87</v>
      </c>
      <c r="D44" s="100"/>
      <c r="E44" s="100"/>
      <c r="F44" s="100"/>
      <c r="G44" s="100"/>
      <c r="H44" s="100"/>
      <c r="I44" s="100"/>
      <c r="J44" s="100"/>
      <c r="K44" s="102">
        <v>1</v>
      </c>
      <c r="L44" s="103"/>
      <c r="M44" s="103"/>
      <c r="N44" s="103"/>
      <c r="O44" s="94">
        <v>0.54</v>
      </c>
      <c r="P44" s="95"/>
      <c r="Q44" s="95"/>
      <c r="R44" s="95"/>
      <c r="S44" s="92" t="str">
        <f>"(54)"</f>
        <v>(54)</v>
      </c>
      <c r="T44" s="92"/>
      <c r="U44" s="92"/>
      <c r="V44" s="93"/>
      <c r="W44" s="104" t="s">
        <v>104</v>
      </c>
      <c r="X44" s="101"/>
      <c r="Y44" s="101"/>
      <c r="Z44" s="34"/>
    </row>
    <row r="45" spans="1:26" ht="12.75" customHeight="1" x14ac:dyDescent="0.25">
      <c r="A45" s="100"/>
      <c r="B45" s="100"/>
      <c r="C45" s="101"/>
      <c r="D45" s="100"/>
      <c r="E45" s="100"/>
      <c r="F45" s="100"/>
      <c r="G45" s="100"/>
      <c r="H45" s="100"/>
      <c r="I45" s="100"/>
      <c r="J45" s="100"/>
      <c r="K45" s="102">
        <v>2</v>
      </c>
      <c r="L45" s="103"/>
      <c r="M45" s="103"/>
      <c r="N45" s="103"/>
      <c r="O45" s="94">
        <v>0.54</v>
      </c>
      <c r="P45" s="95"/>
      <c r="Q45" s="95"/>
      <c r="R45" s="95"/>
      <c r="S45" s="92" t="str">
        <f t="shared" ref="S45:S47" si="1">"(54)"</f>
        <v>(54)</v>
      </c>
      <c r="T45" s="92"/>
      <c r="U45" s="92"/>
      <c r="V45" s="93"/>
      <c r="W45" s="104" t="s">
        <v>104</v>
      </c>
      <c r="X45" s="101"/>
      <c r="Y45" s="101"/>
      <c r="Z45" s="34"/>
    </row>
    <row r="46" spans="1:26" ht="12.75" customHeight="1" x14ac:dyDescent="0.2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2">
        <v>3</v>
      </c>
      <c r="L46" s="103"/>
      <c r="M46" s="103"/>
      <c r="N46" s="103"/>
      <c r="O46" s="94">
        <v>0.54</v>
      </c>
      <c r="P46" s="95"/>
      <c r="Q46" s="95"/>
      <c r="R46" s="95"/>
      <c r="S46" s="92" t="str">
        <f t="shared" si="1"/>
        <v>(54)</v>
      </c>
      <c r="T46" s="92"/>
      <c r="U46" s="92"/>
      <c r="V46" s="93"/>
      <c r="W46" s="104" t="s">
        <v>104</v>
      </c>
      <c r="X46" s="101"/>
      <c r="Y46" s="101"/>
      <c r="Z46" s="34"/>
    </row>
    <row r="47" spans="1:26" ht="12.75" customHeight="1" x14ac:dyDescent="0.25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2">
        <v>4</v>
      </c>
      <c r="L47" s="103"/>
      <c r="M47" s="103"/>
      <c r="N47" s="103"/>
      <c r="O47" s="94">
        <v>0.54</v>
      </c>
      <c r="P47" s="95"/>
      <c r="Q47" s="95"/>
      <c r="R47" s="95"/>
      <c r="S47" s="92" t="str">
        <f t="shared" si="1"/>
        <v>(54)</v>
      </c>
      <c r="T47" s="92"/>
      <c r="U47" s="92"/>
      <c r="V47" s="93"/>
      <c r="W47" s="104" t="s">
        <v>104</v>
      </c>
      <c r="X47" s="101"/>
      <c r="Y47" s="101"/>
      <c r="Z47" s="34"/>
    </row>
    <row r="48" spans="1:26" ht="12.75" customHeight="1" x14ac:dyDescent="0.25">
      <c r="A48" s="100">
        <v>4</v>
      </c>
      <c r="B48" s="100"/>
      <c r="C48" s="101" t="s">
        <v>89</v>
      </c>
      <c r="D48" s="100"/>
      <c r="E48" s="100"/>
      <c r="F48" s="100"/>
      <c r="G48" s="100"/>
      <c r="H48" s="100"/>
      <c r="I48" s="100"/>
      <c r="J48" s="100"/>
      <c r="K48" s="102">
        <v>1</v>
      </c>
      <c r="L48" s="103"/>
      <c r="M48" s="103"/>
      <c r="N48" s="103"/>
      <c r="O48" s="90">
        <f>$AE$23</f>
        <v>0.22499999999999998</v>
      </c>
      <c r="P48" s="91"/>
      <c r="Q48" s="91"/>
      <c r="R48" s="91"/>
      <c r="S48" s="92" t="str">
        <f>"("&amp;($AF$23)&amp;")"</f>
        <v>(22,5)</v>
      </c>
      <c r="T48" s="92"/>
      <c r="U48" s="92"/>
      <c r="V48" s="93"/>
      <c r="W48" s="104" t="s">
        <v>104</v>
      </c>
      <c r="X48" s="101"/>
      <c r="Y48" s="101"/>
      <c r="Z48" s="34"/>
    </row>
    <row r="49" spans="1:42" ht="12.75" customHeight="1" x14ac:dyDescent="0.25">
      <c r="A49" s="100"/>
      <c r="B49" s="100"/>
      <c r="C49" s="101"/>
      <c r="D49" s="100"/>
      <c r="E49" s="100"/>
      <c r="F49" s="100"/>
      <c r="G49" s="100"/>
      <c r="H49" s="100"/>
      <c r="I49" s="100"/>
      <c r="J49" s="100"/>
      <c r="K49" s="102">
        <v>2</v>
      </c>
      <c r="L49" s="103"/>
      <c r="M49" s="103"/>
      <c r="N49" s="103"/>
      <c r="O49" s="90">
        <f>$AE$23</f>
        <v>0.22499999999999998</v>
      </c>
      <c r="P49" s="91"/>
      <c r="Q49" s="91"/>
      <c r="R49" s="91"/>
      <c r="S49" s="92" t="str">
        <f>"("&amp;($AF$23)&amp;")"</f>
        <v>(22,5)</v>
      </c>
      <c r="T49" s="92"/>
      <c r="U49" s="92"/>
      <c r="V49" s="93"/>
      <c r="W49" s="104" t="s">
        <v>104</v>
      </c>
      <c r="X49" s="101"/>
      <c r="Y49" s="101"/>
      <c r="Z49" s="34"/>
    </row>
    <row r="50" spans="1:42" ht="12.75" customHeight="1" x14ac:dyDescent="0.25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2">
        <v>3</v>
      </c>
      <c r="L50" s="103"/>
      <c r="M50" s="103"/>
      <c r="N50" s="103"/>
      <c r="O50" s="90">
        <f>$AE$23</f>
        <v>0.22499999999999998</v>
      </c>
      <c r="P50" s="91"/>
      <c r="Q50" s="91"/>
      <c r="R50" s="91"/>
      <c r="S50" s="92" t="str">
        <f>"("&amp;($AF$23)&amp;")"</f>
        <v>(22,5)</v>
      </c>
      <c r="T50" s="92"/>
      <c r="U50" s="92"/>
      <c r="V50" s="93"/>
      <c r="W50" s="104" t="s">
        <v>104</v>
      </c>
      <c r="X50" s="101"/>
      <c r="Y50" s="101"/>
      <c r="Z50" s="34"/>
    </row>
    <row r="51" spans="1:42" ht="12.75" customHeight="1" x14ac:dyDescent="0.25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2">
        <v>4</v>
      </c>
      <c r="L51" s="103"/>
      <c r="M51" s="103"/>
      <c r="N51" s="103"/>
      <c r="O51" s="90">
        <f>$AE$23</f>
        <v>0.22499999999999998</v>
      </c>
      <c r="P51" s="91"/>
      <c r="Q51" s="91"/>
      <c r="R51" s="91"/>
      <c r="S51" s="92" t="str">
        <f>"("&amp;($AF$23)&amp;")"</f>
        <v>(22,5)</v>
      </c>
      <c r="T51" s="92"/>
      <c r="U51" s="92"/>
      <c r="V51" s="93"/>
      <c r="W51" s="104" t="s">
        <v>104</v>
      </c>
      <c r="X51" s="101"/>
      <c r="Y51" s="101"/>
      <c r="Z51" s="34"/>
    </row>
    <row r="52" spans="1:42" ht="12.75" customHeight="1" x14ac:dyDescent="0.25">
      <c r="A52" s="97" t="s">
        <v>93</v>
      </c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9"/>
      <c r="Z52" s="34"/>
    </row>
    <row r="53" spans="1:42" ht="12.75" customHeight="1" x14ac:dyDescent="0.25">
      <c r="A53" s="100">
        <v>5</v>
      </c>
      <c r="B53" s="100"/>
      <c r="C53" s="101" t="s">
        <v>88</v>
      </c>
      <c r="D53" s="100"/>
      <c r="E53" s="100"/>
      <c r="F53" s="100"/>
      <c r="G53" s="100"/>
      <c r="H53" s="100"/>
      <c r="I53" s="100"/>
      <c r="J53" s="100"/>
      <c r="K53" s="102">
        <v>1</v>
      </c>
      <c r="L53" s="103"/>
      <c r="M53" s="103"/>
      <c r="N53" s="103"/>
      <c r="O53" s="94">
        <v>0.54</v>
      </c>
      <c r="P53" s="95"/>
      <c r="Q53" s="95"/>
      <c r="R53" s="95"/>
      <c r="S53" s="92" t="str">
        <f>"(54)"</f>
        <v>(54)</v>
      </c>
      <c r="T53" s="92"/>
      <c r="U53" s="92"/>
      <c r="V53" s="93"/>
      <c r="W53" s="104" t="s">
        <v>104</v>
      </c>
      <c r="X53" s="101"/>
      <c r="Y53" s="101"/>
      <c r="Z53" s="34"/>
    </row>
    <row r="54" spans="1:42" ht="12.75" customHeight="1" x14ac:dyDescent="0.25">
      <c r="A54" s="100"/>
      <c r="B54" s="100"/>
      <c r="C54" s="101"/>
      <c r="D54" s="100"/>
      <c r="E54" s="100"/>
      <c r="F54" s="100"/>
      <c r="G54" s="100"/>
      <c r="H54" s="100"/>
      <c r="I54" s="100"/>
      <c r="J54" s="100"/>
      <c r="K54" s="102">
        <v>2</v>
      </c>
      <c r="L54" s="103"/>
      <c r="M54" s="103"/>
      <c r="N54" s="103"/>
      <c r="O54" s="94">
        <v>0.54</v>
      </c>
      <c r="P54" s="95"/>
      <c r="Q54" s="95"/>
      <c r="R54" s="95"/>
      <c r="S54" s="92" t="str">
        <f t="shared" ref="S54:S56" si="2">"(54)"</f>
        <v>(54)</v>
      </c>
      <c r="T54" s="92"/>
      <c r="U54" s="92"/>
      <c r="V54" s="93"/>
      <c r="W54" s="104" t="s">
        <v>104</v>
      </c>
      <c r="X54" s="101"/>
      <c r="Y54" s="101"/>
      <c r="Z54" s="34"/>
    </row>
    <row r="55" spans="1:42" ht="12.75" customHeight="1" x14ac:dyDescent="0.2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2">
        <v>3</v>
      </c>
      <c r="L55" s="103"/>
      <c r="M55" s="103"/>
      <c r="N55" s="103"/>
      <c r="O55" s="94">
        <v>0.54</v>
      </c>
      <c r="P55" s="95"/>
      <c r="Q55" s="95"/>
      <c r="R55" s="95"/>
      <c r="S55" s="92" t="str">
        <f t="shared" si="2"/>
        <v>(54)</v>
      </c>
      <c r="T55" s="92"/>
      <c r="U55" s="92"/>
      <c r="V55" s="93"/>
      <c r="W55" s="104" t="s">
        <v>104</v>
      </c>
      <c r="X55" s="101"/>
      <c r="Y55" s="101"/>
      <c r="Z55" s="34"/>
    </row>
    <row r="56" spans="1:42" ht="12.75" customHeight="1" x14ac:dyDescent="0.25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2">
        <v>4</v>
      </c>
      <c r="L56" s="103"/>
      <c r="M56" s="103"/>
      <c r="N56" s="103"/>
      <c r="O56" s="94">
        <v>0.54</v>
      </c>
      <c r="P56" s="95"/>
      <c r="Q56" s="95"/>
      <c r="R56" s="95"/>
      <c r="S56" s="92" t="str">
        <f t="shared" si="2"/>
        <v>(54)</v>
      </c>
      <c r="T56" s="92"/>
      <c r="U56" s="92"/>
      <c r="V56" s="93"/>
      <c r="W56" s="104" t="s">
        <v>104</v>
      </c>
      <c r="X56" s="101"/>
      <c r="Y56" s="101"/>
      <c r="Z56" s="34"/>
    </row>
    <row r="57" spans="1:42" ht="12.75" customHeight="1" x14ac:dyDescent="0.25">
      <c r="A57" s="74"/>
      <c r="B57" s="74"/>
      <c r="C57" s="74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34"/>
    </row>
    <row r="58" spans="1:42" ht="12.75" customHeight="1" x14ac:dyDescent="0.25">
      <c r="A58" s="105" t="s">
        <v>90</v>
      </c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6"/>
      <c r="AA58" s="106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</row>
    <row r="59" spans="1:42" ht="12.75" customHeight="1" x14ac:dyDescent="0.25">
      <c r="A59" s="96" t="s">
        <v>91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107"/>
      <c r="AA59" s="107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</row>
    <row r="60" spans="1:42" ht="12.75" customHeight="1" x14ac:dyDescent="0.25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24"/>
      <c r="AE60" s="32"/>
      <c r="AF60" s="32"/>
      <c r="AG60" s="32"/>
      <c r="AH60" s="32"/>
      <c r="AI60" s="32"/>
      <c r="AJ60" s="32"/>
      <c r="AK60" s="32"/>
      <c r="AL60" s="32"/>
      <c r="AM60" s="32"/>
      <c r="AN60" s="32"/>
    </row>
    <row r="61" spans="1:42" ht="12.75" customHeight="1" x14ac:dyDescent="0.25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24"/>
      <c r="AE61" s="32"/>
      <c r="AF61" s="32"/>
      <c r="AG61" s="32"/>
      <c r="AH61" s="32"/>
      <c r="AI61" s="32"/>
      <c r="AJ61" s="32"/>
      <c r="AK61" s="32"/>
      <c r="AL61" s="32"/>
      <c r="AM61" s="32"/>
      <c r="AN61" s="32"/>
    </row>
    <row r="62" spans="1:42" ht="12.75" customHeight="1" x14ac:dyDescent="0.25">
      <c r="A62" s="22"/>
      <c r="B62" s="21"/>
      <c r="C62" s="22"/>
      <c r="D62" s="22"/>
      <c r="E62" s="22"/>
      <c r="F62" s="22"/>
      <c r="G62" s="22"/>
      <c r="H62" s="22"/>
      <c r="I62" s="22"/>
      <c r="J62" s="22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B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</row>
    <row r="63" spans="1:42" ht="12.75" customHeight="1" x14ac:dyDescent="0.25">
      <c r="A63" s="59" t="s">
        <v>3</v>
      </c>
      <c r="B63" s="21"/>
      <c r="C63" s="22"/>
      <c r="D63" s="22"/>
      <c r="E63" s="22"/>
      <c r="F63" s="22"/>
      <c r="G63" s="22"/>
      <c r="H63" s="22"/>
      <c r="I63" s="22"/>
      <c r="J63" s="22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B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</row>
    <row r="64" spans="1:42" ht="12.75" customHeight="1" x14ac:dyDescent="0.25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24"/>
      <c r="AB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</row>
    <row r="65" spans="1:40" ht="12.75" customHeight="1" x14ac:dyDescent="0.25">
      <c r="A65" s="59" t="s">
        <v>4</v>
      </c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60"/>
      <c r="P65" s="60"/>
      <c r="Q65" s="60"/>
      <c r="R65" s="60"/>
      <c r="S65" s="60"/>
      <c r="T65" s="62" t="s">
        <v>67</v>
      </c>
      <c r="U65" s="60"/>
      <c r="V65" s="60"/>
      <c r="W65" s="60"/>
      <c r="X65" s="60"/>
      <c r="Y65" s="63"/>
      <c r="Z65" s="24"/>
      <c r="AB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</row>
    <row r="66" spans="1:40" ht="12.75" customHeight="1" x14ac:dyDescent="0.2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3"/>
      <c r="Z66" s="24"/>
      <c r="AB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</row>
    <row r="67" spans="1:40" ht="12.75" customHeight="1" x14ac:dyDescent="0.25">
      <c r="A67" s="59"/>
      <c r="B67" s="59"/>
      <c r="C67" s="59"/>
      <c r="D67" s="59"/>
      <c r="E67" s="59"/>
      <c r="F67" s="59"/>
      <c r="G67" s="59"/>
      <c r="H67" s="60"/>
      <c r="I67" s="59"/>
      <c r="J67" s="61"/>
      <c r="K67" s="59"/>
      <c r="L67" s="60"/>
      <c r="M67" s="59"/>
      <c r="N67" s="61"/>
      <c r="O67" s="59"/>
      <c r="P67" s="61"/>
      <c r="Q67" s="59"/>
      <c r="R67" s="62"/>
      <c r="S67" s="59"/>
      <c r="T67" s="62"/>
      <c r="U67" s="59"/>
      <c r="V67" s="60"/>
      <c r="W67" s="59"/>
      <c r="X67" s="61"/>
      <c r="Y67" s="60"/>
      <c r="Z67" s="21"/>
      <c r="AB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</row>
    <row r="68" spans="1:40" ht="12.75" customHeight="1" x14ac:dyDescent="0.25">
      <c r="A68" s="59" t="s">
        <v>4</v>
      </c>
      <c r="B68" s="59"/>
      <c r="C68" s="59"/>
      <c r="D68" s="59"/>
      <c r="E68" s="59"/>
      <c r="F68" s="59"/>
      <c r="G68" s="60"/>
      <c r="H68" s="60"/>
      <c r="I68" s="60"/>
      <c r="J68" s="59"/>
      <c r="K68" s="60"/>
      <c r="L68" s="60"/>
      <c r="M68" s="60"/>
      <c r="N68" s="60"/>
      <c r="O68" s="60"/>
      <c r="P68" s="60"/>
      <c r="Q68" s="60"/>
      <c r="R68" s="62"/>
      <c r="S68" s="60"/>
      <c r="T68" s="62" t="s">
        <v>67</v>
      </c>
      <c r="U68" s="60"/>
      <c r="V68" s="60"/>
      <c r="W68" s="60"/>
      <c r="X68" s="60"/>
      <c r="Y68" s="60"/>
      <c r="Z68" s="22"/>
    </row>
    <row r="69" spans="1:40" ht="12.75" customHeight="1" x14ac:dyDescent="0.25">
      <c r="A69" s="59"/>
      <c r="B69" s="59"/>
      <c r="C69" s="59"/>
      <c r="D69" s="59"/>
      <c r="E69" s="59"/>
      <c r="F69" s="59"/>
      <c r="G69" s="60"/>
      <c r="H69" s="60"/>
      <c r="I69" s="60"/>
      <c r="J69" s="59"/>
      <c r="K69" s="60"/>
      <c r="L69" s="60"/>
      <c r="M69" s="60"/>
      <c r="N69" s="60"/>
      <c r="O69" s="60"/>
      <c r="P69" s="60"/>
      <c r="Q69" s="60"/>
      <c r="R69" s="62"/>
      <c r="S69" s="60"/>
      <c r="T69" s="62"/>
      <c r="U69" s="60"/>
      <c r="V69" s="60"/>
      <c r="W69" s="60"/>
      <c r="X69" s="60"/>
      <c r="Y69" s="60"/>
    </row>
    <row r="70" spans="1:40" ht="12.75" customHeight="1" x14ac:dyDescent="0.25">
      <c r="A70" s="59"/>
      <c r="B70" s="59"/>
      <c r="C70" s="59"/>
      <c r="D70" s="59"/>
      <c r="E70" s="59"/>
      <c r="F70" s="59"/>
      <c r="G70" s="60"/>
      <c r="H70" s="60"/>
      <c r="I70" s="60"/>
      <c r="J70" s="59"/>
      <c r="K70" s="60"/>
      <c r="L70" s="60"/>
      <c r="M70" s="60"/>
      <c r="N70" s="60"/>
      <c r="O70" s="60"/>
      <c r="P70" s="60"/>
      <c r="Q70" s="60"/>
      <c r="R70" s="62"/>
      <c r="S70" s="60"/>
      <c r="T70" s="62"/>
      <c r="U70" s="60"/>
      <c r="V70" s="60"/>
      <c r="W70" s="60"/>
      <c r="X70" s="60"/>
      <c r="Y70" s="60"/>
    </row>
    <row r="71" spans="1:40" ht="12.75" customHeight="1" x14ac:dyDescent="0.25">
      <c r="A71" s="63" t="s">
        <v>1</v>
      </c>
      <c r="B71" s="63"/>
      <c r="C71" s="63"/>
      <c r="D71" s="63" t="s">
        <v>74</v>
      </c>
      <c r="E71" s="63"/>
      <c r="F71" s="63"/>
      <c r="G71" s="63"/>
      <c r="H71" s="63"/>
      <c r="I71" s="63"/>
      <c r="J71" s="63"/>
      <c r="K71" s="60"/>
      <c r="L71" s="60"/>
      <c r="M71" s="60"/>
      <c r="N71" s="60"/>
      <c r="O71" s="60"/>
      <c r="P71" s="60"/>
      <c r="Q71" s="60"/>
      <c r="R71" s="59"/>
      <c r="S71" s="60"/>
      <c r="T71" s="60"/>
      <c r="U71" s="60"/>
      <c r="V71" s="60"/>
      <c r="W71" s="60"/>
      <c r="X71" s="60"/>
      <c r="Y71" s="60"/>
    </row>
    <row r="72" spans="1:40" ht="12.75" customHeight="1" x14ac:dyDescent="0.25">
      <c r="A72" s="63"/>
      <c r="B72" s="63"/>
      <c r="C72" s="63"/>
      <c r="D72" s="63" t="s">
        <v>75</v>
      </c>
      <c r="E72" s="63"/>
      <c r="F72" s="63"/>
      <c r="G72" s="63"/>
      <c r="H72" s="63"/>
      <c r="I72" s="63"/>
      <c r="J72" s="63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</row>
    <row r="73" spans="1:40" ht="14.1" customHeight="1" x14ac:dyDescent="0.25"/>
    <row r="74" spans="1:40" ht="14.1" customHeight="1" x14ac:dyDescent="0.25"/>
  </sheetData>
  <mergeCells count="131">
    <mergeCell ref="W34:Y34"/>
    <mergeCell ref="K39:N39"/>
    <mergeCell ref="W39:Y39"/>
    <mergeCell ref="A40:B43"/>
    <mergeCell ref="C40:J43"/>
    <mergeCell ref="K40:N40"/>
    <mergeCell ref="W40:Y40"/>
    <mergeCell ref="K41:N41"/>
    <mergeCell ref="W41:Y41"/>
    <mergeCell ref="K42:N42"/>
    <mergeCell ref="W42:Y42"/>
    <mergeCell ref="K43:N43"/>
    <mergeCell ref="W43:Y43"/>
    <mergeCell ref="A34:B34"/>
    <mergeCell ref="C34:J34"/>
    <mergeCell ref="K34:N34"/>
    <mergeCell ref="O34:V34"/>
    <mergeCell ref="S40:V40"/>
    <mergeCell ref="O41:R41"/>
    <mergeCell ref="S41:V41"/>
    <mergeCell ref="O42:R42"/>
    <mergeCell ref="S42:V42"/>
    <mergeCell ref="O43:R43"/>
    <mergeCell ref="W38:Y38"/>
    <mergeCell ref="W53:Y53"/>
    <mergeCell ref="W55:Y55"/>
    <mergeCell ref="W56:Y56"/>
    <mergeCell ref="O54:R54"/>
    <mergeCell ref="S54:V54"/>
    <mergeCell ref="O53:R53"/>
    <mergeCell ref="S53:V53"/>
    <mergeCell ref="O55:R55"/>
    <mergeCell ref="S55:V55"/>
    <mergeCell ref="O56:R56"/>
    <mergeCell ref="S56:V56"/>
    <mergeCell ref="A53:B56"/>
    <mergeCell ref="C53:J56"/>
    <mergeCell ref="K53:N53"/>
    <mergeCell ref="K55:N55"/>
    <mergeCell ref="K56:N56"/>
    <mergeCell ref="K54:N54"/>
    <mergeCell ref="W54:Y54"/>
    <mergeCell ref="A36:B39"/>
    <mergeCell ref="C36:J39"/>
    <mergeCell ref="S43:V43"/>
    <mergeCell ref="O44:R44"/>
    <mergeCell ref="S44:V44"/>
    <mergeCell ref="O45:R45"/>
    <mergeCell ref="S45:V45"/>
    <mergeCell ref="W47:Y47"/>
    <mergeCell ref="O36:R36"/>
    <mergeCell ref="S36:V36"/>
    <mergeCell ref="O37:R37"/>
    <mergeCell ref="S37:V37"/>
    <mergeCell ref="O38:R38"/>
    <mergeCell ref="S38:V38"/>
    <mergeCell ref="O39:R39"/>
    <mergeCell ref="S39:V39"/>
    <mergeCell ref="O40:R40"/>
    <mergeCell ref="A17:F17"/>
    <mergeCell ref="G17:Y17"/>
    <mergeCell ref="A18:F18"/>
    <mergeCell ref="G18:Y19"/>
    <mergeCell ref="A20:F20"/>
    <mergeCell ref="G20:Y21"/>
    <mergeCell ref="G26:Y29"/>
    <mergeCell ref="A32:B33"/>
    <mergeCell ref="C32:J33"/>
    <mergeCell ref="W32:Y33"/>
    <mergeCell ref="O32:V33"/>
    <mergeCell ref="K32:N33"/>
    <mergeCell ref="Z58:AA58"/>
    <mergeCell ref="Z59:AA59"/>
    <mergeCell ref="A1:Y7"/>
    <mergeCell ref="A14:Y14"/>
    <mergeCell ref="A15:Y15"/>
    <mergeCell ref="A16:F16"/>
    <mergeCell ref="G16:Y16"/>
    <mergeCell ref="R9:Z9"/>
    <mergeCell ref="R11:V11"/>
    <mergeCell ref="W11:Z11"/>
    <mergeCell ref="R12:V12"/>
    <mergeCell ref="R13:V13"/>
    <mergeCell ref="A30:F30"/>
    <mergeCell ref="G24:Y25"/>
    <mergeCell ref="A48:B51"/>
    <mergeCell ref="C48:J51"/>
    <mergeCell ref="G22:Y22"/>
    <mergeCell ref="A23:F23"/>
    <mergeCell ref="G23:Y23"/>
    <mergeCell ref="A24:F24"/>
    <mergeCell ref="A22:F22"/>
    <mergeCell ref="A26:F26"/>
    <mergeCell ref="K48:N48"/>
    <mergeCell ref="W48:Y48"/>
    <mergeCell ref="A59:Y61"/>
    <mergeCell ref="A35:Y35"/>
    <mergeCell ref="A52:Y52"/>
    <mergeCell ref="A44:B47"/>
    <mergeCell ref="C44:J47"/>
    <mergeCell ref="K44:N44"/>
    <mergeCell ref="W44:Y44"/>
    <mergeCell ref="K45:N45"/>
    <mergeCell ref="W45:Y45"/>
    <mergeCell ref="K46:N46"/>
    <mergeCell ref="W46:Y46"/>
    <mergeCell ref="K47:N47"/>
    <mergeCell ref="K49:N49"/>
    <mergeCell ref="W49:Y49"/>
    <mergeCell ref="K50:N50"/>
    <mergeCell ref="A58:Y58"/>
    <mergeCell ref="W50:Y50"/>
    <mergeCell ref="K51:N51"/>
    <mergeCell ref="W51:Y51"/>
    <mergeCell ref="K36:N36"/>
    <mergeCell ref="W36:Y36"/>
    <mergeCell ref="K37:N37"/>
    <mergeCell ref="W37:Y37"/>
    <mergeCell ref="K38:N38"/>
    <mergeCell ref="O49:R49"/>
    <mergeCell ref="S49:V49"/>
    <mergeCell ref="O50:R50"/>
    <mergeCell ref="S50:V50"/>
    <mergeCell ref="O51:R51"/>
    <mergeCell ref="S51:V51"/>
    <mergeCell ref="O46:R46"/>
    <mergeCell ref="S46:V46"/>
    <mergeCell ref="O47:R47"/>
    <mergeCell ref="S47:V47"/>
    <mergeCell ref="O48:R48"/>
    <mergeCell ref="S48:V48"/>
  </mergeCells>
  <phoneticPr fontId="27" type="noConversion"/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&amp;R&amp;8№&amp;A.УК Страница  &amp;P из &amp;N</oddFooter>
    <firstHeader>&amp;C&amp;G</firstHeader>
    <firstFooter>&amp;R&amp;8№&amp;A.УК Страница  &amp;P из &amp;N</first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64B6-77C2-4F3A-B24B-2A0D79C8446F}">
  <dimension ref="A1:H80"/>
  <sheetViews>
    <sheetView view="pageBreakPreview" topLeftCell="A4" zoomScale="115" zoomScaleNormal="115" zoomScaleSheetLayoutView="115" workbookViewId="0">
      <selection activeCell="C62" sqref="C62:D62"/>
    </sheetView>
  </sheetViews>
  <sheetFormatPr defaultRowHeight="15" x14ac:dyDescent="0.25"/>
  <cols>
    <col min="1" max="2" width="9.140625" style="80"/>
    <col min="3" max="3" width="10.7109375" style="80" customWidth="1"/>
    <col min="4" max="4" width="18.140625" style="80" customWidth="1"/>
    <col min="5" max="6" width="9.140625" style="80"/>
    <col min="7" max="7" width="10.7109375" style="80" customWidth="1"/>
    <col min="8" max="8" width="18" style="80" customWidth="1"/>
    <col min="9" max="16384" width="9.140625" style="80"/>
  </cols>
  <sheetData>
    <row r="1" spans="1:8" x14ac:dyDescent="0.25">
      <c r="A1" s="77"/>
      <c r="B1" s="78"/>
      <c r="C1" s="78"/>
      <c r="D1" s="79"/>
      <c r="E1" s="77"/>
      <c r="F1" s="78"/>
      <c r="G1" s="78"/>
      <c r="H1" s="79"/>
    </row>
    <row r="2" spans="1:8" x14ac:dyDescent="0.25">
      <c r="A2" s="81"/>
      <c r="B2" s="82"/>
      <c r="C2" s="82"/>
      <c r="D2" s="83"/>
      <c r="E2" s="81"/>
      <c r="F2" s="82"/>
      <c r="G2" s="82"/>
      <c r="H2" s="83"/>
    </row>
    <row r="3" spans="1:8" x14ac:dyDescent="0.25">
      <c r="A3" s="81"/>
      <c r="B3" s="82"/>
      <c r="C3" s="82"/>
      <c r="D3" s="83"/>
      <c r="E3" s="81"/>
      <c r="F3" s="82"/>
      <c r="G3" s="82"/>
      <c r="H3" s="83"/>
    </row>
    <row r="4" spans="1:8" x14ac:dyDescent="0.25">
      <c r="A4" s="81"/>
      <c r="B4" s="82"/>
      <c r="C4" s="82"/>
      <c r="D4" s="83"/>
      <c r="E4" s="81"/>
      <c r="F4" s="82"/>
      <c r="G4" s="82"/>
      <c r="H4" s="83"/>
    </row>
    <row r="5" spans="1:8" ht="15.75" thickBot="1" x14ac:dyDescent="0.3">
      <c r="A5" s="81"/>
      <c r="B5" s="82"/>
      <c r="C5" s="82"/>
      <c r="D5" s="83"/>
      <c r="E5" s="81"/>
      <c r="F5" s="82"/>
      <c r="G5" s="82"/>
      <c r="H5" s="83"/>
    </row>
    <row r="6" spans="1:8" ht="45" customHeight="1" thickBot="1" x14ac:dyDescent="0.3">
      <c r="A6" s="151" t="s">
        <v>105</v>
      </c>
      <c r="B6" s="152"/>
      <c r="C6" s="151" t="str">
        <f>'Лестницы, ограждения'!C36</f>
        <v>Ступени</v>
      </c>
      <c r="D6" s="152"/>
      <c r="E6" s="151" t="s">
        <v>105</v>
      </c>
      <c r="F6" s="152"/>
      <c r="G6" s="151" t="str">
        <f>'Лестницы, ограждения'!C36</f>
        <v>Ступени</v>
      </c>
      <c r="H6" s="152"/>
    </row>
    <row r="7" spans="1:8" ht="32.25" customHeight="1" thickBot="1" x14ac:dyDescent="0.3">
      <c r="A7" s="151" t="s">
        <v>60</v>
      </c>
      <c r="B7" s="152"/>
      <c r="C7" s="158">
        <f>'Лестницы, ограждения'!G23</f>
        <v>46058</v>
      </c>
      <c r="D7" s="159"/>
      <c r="E7" s="151" t="s">
        <v>60</v>
      </c>
      <c r="F7" s="152"/>
      <c r="G7" s="153">
        <f>C7</f>
        <v>46058</v>
      </c>
      <c r="H7" s="154"/>
    </row>
    <row r="8" spans="1:8" ht="15.75" thickBot="1" x14ac:dyDescent="0.3">
      <c r="A8" s="155" t="s">
        <v>106</v>
      </c>
      <c r="B8" s="156"/>
      <c r="C8" s="157">
        <f>'Лестницы, ограждения'!O36</f>
        <v>1.8</v>
      </c>
      <c r="D8" s="156"/>
      <c r="E8" s="155" t="s">
        <v>106</v>
      </c>
      <c r="F8" s="156"/>
      <c r="G8" s="157">
        <f>'Лестницы, ограждения'!O36</f>
        <v>1.8</v>
      </c>
      <c r="H8" s="156"/>
    </row>
    <row r="9" spans="1:8" x14ac:dyDescent="0.25">
      <c r="A9" s="84"/>
      <c r="B9" s="85"/>
      <c r="C9" s="85"/>
      <c r="D9" s="86"/>
      <c r="E9" s="84"/>
      <c r="F9" s="85"/>
      <c r="G9" s="85"/>
      <c r="H9" s="86"/>
    </row>
    <row r="10" spans="1:8" x14ac:dyDescent="0.25">
      <c r="A10" s="87"/>
      <c r="B10" s="88"/>
      <c r="C10" s="88"/>
      <c r="D10" s="89"/>
      <c r="E10" s="87"/>
      <c r="F10" s="88"/>
      <c r="G10" s="88"/>
      <c r="H10" s="89"/>
    </row>
    <row r="11" spans="1:8" x14ac:dyDescent="0.25">
      <c r="A11" s="87"/>
      <c r="B11" s="88"/>
      <c r="C11" s="88"/>
      <c r="D11" s="89"/>
      <c r="E11" s="87"/>
      <c r="F11" s="88"/>
      <c r="G11" s="88"/>
      <c r="H11" s="89"/>
    </row>
    <row r="12" spans="1:8" x14ac:dyDescent="0.25">
      <c r="A12" s="87"/>
      <c r="B12" s="88"/>
      <c r="C12" s="88"/>
      <c r="D12" s="89"/>
      <c r="E12" s="87"/>
      <c r="F12" s="88"/>
      <c r="G12" s="88"/>
      <c r="H12" s="89"/>
    </row>
    <row r="13" spans="1:8" ht="15.75" thickBot="1" x14ac:dyDescent="0.3">
      <c r="A13" s="87"/>
      <c r="B13" s="88"/>
      <c r="C13" s="88"/>
      <c r="D13" s="89"/>
      <c r="E13" s="87"/>
      <c r="F13" s="88"/>
      <c r="G13" s="88"/>
      <c r="H13" s="89"/>
    </row>
    <row r="14" spans="1:8" ht="45" customHeight="1" thickBot="1" x14ac:dyDescent="0.3">
      <c r="A14" s="151" t="s">
        <v>105</v>
      </c>
      <c r="B14" s="152"/>
      <c r="C14" s="151" t="str">
        <f>'Лестницы, ограждения'!C36</f>
        <v>Ступени</v>
      </c>
      <c r="D14" s="152"/>
      <c r="E14" s="151" t="s">
        <v>105</v>
      </c>
      <c r="F14" s="152"/>
      <c r="G14" s="151" t="str">
        <f>'Лестницы, ограждения'!C36</f>
        <v>Ступени</v>
      </c>
      <c r="H14" s="152"/>
    </row>
    <row r="15" spans="1:8" ht="32.25" customHeight="1" thickBot="1" x14ac:dyDescent="0.3">
      <c r="A15" s="151" t="s">
        <v>60</v>
      </c>
      <c r="B15" s="152"/>
      <c r="C15" s="153">
        <f>C7</f>
        <v>46058</v>
      </c>
      <c r="D15" s="154"/>
      <c r="E15" s="151" t="s">
        <v>60</v>
      </c>
      <c r="F15" s="152"/>
      <c r="G15" s="153">
        <f>C7</f>
        <v>46058</v>
      </c>
      <c r="H15" s="154"/>
    </row>
    <row r="16" spans="1:8" ht="15.75" thickBot="1" x14ac:dyDescent="0.3">
      <c r="A16" s="155" t="s">
        <v>106</v>
      </c>
      <c r="B16" s="156"/>
      <c r="C16" s="157">
        <f>'Лестницы, ограждения'!O36</f>
        <v>1.8</v>
      </c>
      <c r="D16" s="156"/>
      <c r="E16" s="155" t="s">
        <v>106</v>
      </c>
      <c r="F16" s="156"/>
      <c r="G16" s="157">
        <f>'Лестницы, ограждения'!O36</f>
        <v>1.8</v>
      </c>
      <c r="H16" s="156"/>
    </row>
    <row r="17" spans="1:8" x14ac:dyDescent="0.25">
      <c r="A17" s="84"/>
      <c r="B17" s="85"/>
      <c r="C17" s="85"/>
      <c r="D17" s="86"/>
      <c r="E17" s="84"/>
      <c r="F17" s="85"/>
      <c r="G17" s="85"/>
      <c r="H17" s="86"/>
    </row>
    <row r="18" spans="1:8" x14ac:dyDescent="0.25">
      <c r="A18" s="87"/>
      <c r="B18" s="88"/>
      <c r="C18" s="88"/>
      <c r="D18" s="89"/>
      <c r="E18" s="87"/>
      <c r="F18" s="88"/>
      <c r="G18" s="88"/>
      <c r="H18" s="89"/>
    </row>
    <row r="19" spans="1:8" x14ac:dyDescent="0.25">
      <c r="A19" s="87"/>
      <c r="B19" s="88"/>
      <c r="C19" s="88"/>
      <c r="D19" s="89"/>
      <c r="E19" s="87"/>
      <c r="F19" s="88"/>
      <c r="G19" s="88"/>
      <c r="H19" s="89"/>
    </row>
    <row r="20" spans="1:8" x14ac:dyDescent="0.25">
      <c r="A20" s="87"/>
      <c r="B20" s="88"/>
      <c r="C20" s="88"/>
      <c r="D20" s="89"/>
      <c r="E20" s="87"/>
      <c r="F20" s="88"/>
      <c r="G20" s="88"/>
      <c r="H20" s="89"/>
    </row>
    <row r="21" spans="1:8" ht="15.75" thickBot="1" x14ac:dyDescent="0.3">
      <c r="A21" s="87"/>
      <c r="B21" s="88"/>
      <c r="C21" s="88"/>
      <c r="D21" s="89"/>
      <c r="E21" s="87"/>
      <c r="F21" s="88"/>
      <c r="G21" s="88"/>
      <c r="H21" s="89"/>
    </row>
    <row r="22" spans="1:8" ht="45" customHeight="1" thickBot="1" x14ac:dyDescent="0.3">
      <c r="A22" s="151" t="s">
        <v>105</v>
      </c>
      <c r="B22" s="152"/>
      <c r="C22" s="151" t="e">
        <f>#REF!</f>
        <v>#REF!</v>
      </c>
      <c r="D22" s="152"/>
      <c r="E22" s="151" t="s">
        <v>105</v>
      </c>
      <c r="F22" s="152"/>
      <c r="G22" s="151" t="e">
        <f>#REF!</f>
        <v>#REF!</v>
      </c>
      <c r="H22" s="152"/>
    </row>
    <row r="23" spans="1:8" ht="32.25" customHeight="1" thickBot="1" x14ac:dyDescent="0.3">
      <c r="A23" s="151" t="s">
        <v>60</v>
      </c>
      <c r="B23" s="152"/>
      <c r="C23" s="158">
        <f>C7</f>
        <v>46058</v>
      </c>
      <c r="D23" s="159"/>
      <c r="E23" s="151" t="s">
        <v>60</v>
      </c>
      <c r="F23" s="152"/>
      <c r="G23" s="153">
        <f>C7</f>
        <v>46058</v>
      </c>
      <c r="H23" s="154"/>
    </row>
    <row r="24" spans="1:8" ht="15.75" thickBot="1" x14ac:dyDescent="0.3">
      <c r="A24" s="155" t="s">
        <v>106</v>
      </c>
      <c r="B24" s="156"/>
      <c r="C24" s="157">
        <f>'Лестницы, ограждения'!O40</f>
        <v>3.24</v>
      </c>
      <c r="D24" s="156"/>
      <c r="E24" s="155" t="s">
        <v>106</v>
      </c>
      <c r="F24" s="156"/>
      <c r="G24" s="157">
        <f>'Лестницы, ограждения'!O40</f>
        <v>3.24</v>
      </c>
      <c r="H24" s="156"/>
    </row>
    <row r="25" spans="1:8" x14ac:dyDescent="0.25">
      <c r="A25" s="84"/>
      <c r="B25" s="85"/>
      <c r="C25" s="85"/>
      <c r="D25" s="86"/>
      <c r="E25" s="84"/>
      <c r="F25" s="85"/>
      <c r="G25" s="85"/>
      <c r="H25" s="86"/>
    </row>
    <row r="26" spans="1:8" x14ac:dyDescent="0.25">
      <c r="A26" s="87"/>
      <c r="B26" s="88"/>
      <c r="C26" s="88"/>
      <c r="D26" s="89"/>
      <c r="E26" s="87"/>
      <c r="F26" s="88"/>
      <c r="G26" s="88"/>
      <c r="H26" s="89"/>
    </row>
    <row r="27" spans="1:8" x14ac:dyDescent="0.25">
      <c r="A27" s="87"/>
      <c r="B27" s="88"/>
      <c r="C27" s="88"/>
      <c r="D27" s="89"/>
      <c r="E27" s="87"/>
      <c r="F27" s="88"/>
      <c r="G27" s="88"/>
      <c r="H27" s="89"/>
    </row>
    <row r="28" spans="1:8" x14ac:dyDescent="0.25">
      <c r="A28" s="87"/>
      <c r="B28" s="88"/>
      <c r="C28" s="88"/>
      <c r="D28" s="89"/>
      <c r="E28" s="87"/>
      <c r="F28" s="88"/>
      <c r="G28" s="88"/>
      <c r="H28" s="89"/>
    </row>
    <row r="29" spans="1:8" ht="15.75" thickBot="1" x14ac:dyDescent="0.3">
      <c r="A29" s="87"/>
      <c r="B29" s="88"/>
      <c r="C29" s="88"/>
      <c r="D29" s="89"/>
      <c r="E29" s="87"/>
      <c r="F29" s="88"/>
      <c r="G29" s="88"/>
      <c r="H29" s="89"/>
    </row>
    <row r="30" spans="1:8" ht="45" customHeight="1" thickBot="1" x14ac:dyDescent="0.3">
      <c r="A30" s="151" t="s">
        <v>105</v>
      </c>
      <c r="B30" s="152"/>
      <c r="C30" s="151" t="e">
        <f>#REF!</f>
        <v>#REF!</v>
      </c>
      <c r="D30" s="152"/>
      <c r="E30" s="151" t="s">
        <v>105</v>
      </c>
      <c r="F30" s="152"/>
      <c r="G30" s="151" t="e">
        <f>#REF!</f>
        <v>#REF!</v>
      </c>
      <c r="H30" s="152"/>
    </row>
    <row r="31" spans="1:8" ht="32.25" customHeight="1" thickBot="1" x14ac:dyDescent="0.3">
      <c r="A31" s="151" t="s">
        <v>60</v>
      </c>
      <c r="B31" s="152"/>
      <c r="C31" s="153">
        <f>C7</f>
        <v>46058</v>
      </c>
      <c r="D31" s="154"/>
      <c r="E31" s="151" t="s">
        <v>60</v>
      </c>
      <c r="F31" s="152"/>
      <c r="G31" s="153">
        <f>C7</f>
        <v>46058</v>
      </c>
      <c r="H31" s="154"/>
    </row>
    <row r="32" spans="1:8" ht="15.75" thickBot="1" x14ac:dyDescent="0.3">
      <c r="A32" s="155" t="s">
        <v>106</v>
      </c>
      <c r="B32" s="156"/>
      <c r="C32" s="157">
        <f>'Лестницы, ограждения'!O40</f>
        <v>3.24</v>
      </c>
      <c r="D32" s="156"/>
      <c r="E32" s="155" t="s">
        <v>106</v>
      </c>
      <c r="F32" s="156"/>
      <c r="G32" s="157">
        <f>'Лестницы, ограждения'!O40</f>
        <v>3.24</v>
      </c>
      <c r="H32" s="156"/>
    </row>
    <row r="33" spans="1:8" x14ac:dyDescent="0.25">
      <c r="A33" s="84"/>
      <c r="B33" s="85"/>
      <c r="C33" s="85"/>
      <c r="D33" s="86"/>
      <c r="E33" s="84"/>
      <c r="F33" s="85"/>
      <c r="G33" s="85"/>
      <c r="H33" s="86"/>
    </row>
    <row r="34" spans="1:8" x14ac:dyDescent="0.25">
      <c r="A34" s="87"/>
      <c r="B34" s="88"/>
      <c r="C34" s="88"/>
      <c r="D34" s="89"/>
      <c r="E34" s="87"/>
      <c r="F34" s="88"/>
      <c r="G34" s="88"/>
      <c r="H34" s="89"/>
    </row>
    <row r="35" spans="1:8" x14ac:dyDescent="0.25">
      <c r="A35" s="87"/>
      <c r="B35" s="88"/>
      <c r="C35" s="88"/>
      <c r="D35" s="89"/>
      <c r="E35" s="87"/>
      <c r="F35" s="88"/>
      <c r="G35" s="88"/>
      <c r="H35" s="89"/>
    </row>
    <row r="36" spans="1:8" x14ac:dyDescent="0.25">
      <c r="A36" s="87"/>
      <c r="B36" s="88"/>
      <c r="C36" s="88"/>
      <c r="D36" s="89"/>
      <c r="E36" s="87"/>
      <c r="F36" s="88"/>
      <c r="G36" s="88"/>
      <c r="H36" s="89"/>
    </row>
    <row r="37" spans="1:8" ht="15.75" thickBot="1" x14ac:dyDescent="0.3">
      <c r="A37" s="87"/>
      <c r="B37" s="88"/>
      <c r="C37" s="88"/>
      <c r="D37" s="89"/>
      <c r="E37" s="87"/>
      <c r="F37" s="88"/>
      <c r="G37" s="88"/>
      <c r="H37" s="89"/>
    </row>
    <row r="38" spans="1:8" ht="45" customHeight="1" thickBot="1" x14ac:dyDescent="0.3">
      <c r="A38" s="151" t="s">
        <v>105</v>
      </c>
      <c r="B38" s="152"/>
      <c r="C38" s="151" t="e">
        <f>#REF!</f>
        <v>#REF!</v>
      </c>
      <c r="D38" s="152"/>
      <c r="E38" s="151" t="s">
        <v>105</v>
      </c>
      <c r="F38" s="152"/>
      <c r="G38" s="151" t="e">
        <f>#REF!</f>
        <v>#REF!</v>
      </c>
      <c r="H38" s="152"/>
    </row>
    <row r="39" spans="1:8" ht="32.25" customHeight="1" thickBot="1" x14ac:dyDescent="0.3">
      <c r="A39" s="151" t="s">
        <v>60</v>
      </c>
      <c r="B39" s="152"/>
      <c r="C39" s="158">
        <f>C7</f>
        <v>46058</v>
      </c>
      <c r="D39" s="159"/>
      <c r="E39" s="151" t="s">
        <v>60</v>
      </c>
      <c r="F39" s="152"/>
      <c r="G39" s="153">
        <f>C7</f>
        <v>46058</v>
      </c>
      <c r="H39" s="154"/>
    </row>
    <row r="40" spans="1:8" ht="15.75" thickBot="1" x14ac:dyDescent="0.3">
      <c r="A40" s="155" t="s">
        <v>106</v>
      </c>
      <c r="B40" s="156"/>
      <c r="C40" s="157">
        <f>'Лестницы, ограждения'!O48</f>
        <v>0.22499999999999998</v>
      </c>
      <c r="D40" s="156"/>
      <c r="E40" s="155" t="s">
        <v>106</v>
      </c>
      <c r="F40" s="156"/>
      <c r="G40" s="157">
        <f>'Лестницы, ограждения'!O48</f>
        <v>0.22499999999999998</v>
      </c>
      <c r="H40" s="156"/>
    </row>
    <row r="41" spans="1:8" x14ac:dyDescent="0.25">
      <c r="A41" s="84"/>
      <c r="B41" s="85"/>
      <c r="C41" s="85"/>
      <c r="D41" s="86"/>
      <c r="E41" s="84"/>
      <c r="F41" s="85"/>
      <c r="G41" s="85"/>
      <c r="H41" s="86"/>
    </row>
    <row r="42" spans="1:8" x14ac:dyDescent="0.25">
      <c r="A42" s="87"/>
      <c r="B42" s="88"/>
      <c r="C42" s="88"/>
      <c r="D42" s="89"/>
      <c r="E42" s="87"/>
      <c r="F42" s="88"/>
      <c r="G42" s="88"/>
      <c r="H42" s="89"/>
    </row>
    <row r="43" spans="1:8" x14ac:dyDescent="0.25">
      <c r="A43" s="87"/>
      <c r="B43" s="88"/>
      <c r="C43" s="88"/>
      <c r="D43" s="89"/>
      <c r="E43" s="87"/>
      <c r="F43" s="88"/>
      <c r="G43" s="88"/>
      <c r="H43" s="89"/>
    </row>
    <row r="44" spans="1:8" x14ac:dyDescent="0.25">
      <c r="A44" s="87"/>
      <c r="B44" s="88"/>
      <c r="C44" s="88"/>
      <c r="D44" s="89"/>
      <c r="E44" s="87"/>
      <c r="F44" s="88"/>
      <c r="G44" s="88"/>
      <c r="H44" s="89"/>
    </row>
    <row r="45" spans="1:8" ht="15.75" thickBot="1" x14ac:dyDescent="0.3">
      <c r="A45" s="87"/>
      <c r="B45" s="88"/>
      <c r="C45" s="88"/>
      <c r="D45" s="89"/>
      <c r="E45" s="87"/>
      <c r="F45" s="88"/>
      <c r="G45" s="88"/>
      <c r="H45" s="89"/>
    </row>
    <row r="46" spans="1:8" ht="45" customHeight="1" thickBot="1" x14ac:dyDescent="0.3">
      <c r="A46" s="151" t="s">
        <v>105</v>
      </c>
      <c r="B46" s="152"/>
      <c r="C46" s="151" t="e">
        <f>#REF!</f>
        <v>#REF!</v>
      </c>
      <c r="D46" s="152"/>
      <c r="E46" s="151" t="s">
        <v>105</v>
      </c>
      <c r="F46" s="152"/>
      <c r="G46" s="151" t="e">
        <f>#REF!</f>
        <v>#REF!</v>
      </c>
      <c r="H46" s="152"/>
    </row>
    <row r="47" spans="1:8" ht="32.25" customHeight="1" thickBot="1" x14ac:dyDescent="0.3">
      <c r="A47" s="151" t="s">
        <v>60</v>
      </c>
      <c r="B47" s="152"/>
      <c r="C47" s="153">
        <f>C7</f>
        <v>46058</v>
      </c>
      <c r="D47" s="154"/>
      <c r="E47" s="151" t="s">
        <v>60</v>
      </c>
      <c r="F47" s="152"/>
      <c r="G47" s="153">
        <f>C7</f>
        <v>46058</v>
      </c>
      <c r="H47" s="154"/>
    </row>
    <row r="48" spans="1:8" ht="15.75" thickBot="1" x14ac:dyDescent="0.3">
      <c r="A48" s="155" t="s">
        <v>106</v>
      </c>
      <c r="B48" s="156"/>
      <c r="C48" s="157">
        <f>'Лестницы, ограждения'!O48</f>
        <v>0.22499999999999998</v>
      </c>
      <c r="D48" s="156"/>
      <c r="E48" s="155" t="s">
        <v>106</v>
      </c>
      <c r="F48" s="156"/>
      <c r="G48" s="157">
        <f>'Лестницы, ограждения'!O48</f>
        <v>0.22499999999999998</v>
      </c>
      <c r="H48" s="156"/>
    </row>
    <row r="49" spans="1:8" x14ac:dyDescent="0.25">
      <c r="A49" s="84"/>
      <c r="B49" s="85"/>
      <c r="C49" s="85"/>
      <c r="D49" s="86"/>
      <c r="E49" s="84"/>
      <c r="F49" s="85"/>
      <c r="G49" s="85"/>
      <c r="H49" s="86"/>
    </row>
    <row r="50" spans="1:8" x14ac:dyDescent="0.25">
      <c r="A50" s="87"/>
      <c r="B50" s="88"/>
      <c r="C50" s="88"/>
      <c r="D50" s="89"/>
      <c r="E50" s="87"/>
      <c r="F50" s="88"/>
      <c r="G50" s="88"/>
      <c r="H50" s="89"/>
    </row>
    <row r="51" spans="1:8" x14ac:dyDescent="0.25">
      <c r="A51" s="87"/>
      <c r="B51" s="88"/>
      <c r="C51" s="88"/>
      <c r="D51" s="89"/>
      <c r="E51" s="87"/>
      <c r="F51" s="88"/>
      <c r="G51" s="88"/>
      <c r="H51" s="89"/>
    </row>
    <row r="52" spans="1:8" x14ac:dyDescent="0.25">
      <c r="A52" s="87"/>
      <c r="B52" s="88"/>
      <c r="C52" s="88"/>
      <c r="D52" s="89"/>
      <c r="E52" s="87"/>
      <c r="F52" s="88"/>
      <c r="G52" s="88"/>
      <c r="H52" s="89"/>
    </row>
    <row r="53" spans="1:8" ht="15.75" thickBot="1" x14ac:dyDescent="0.3">
      <c r="A53" s="87"/>
      <c r="B53" s="88"/>
      <c r="C53" s="88"/>
      <c r="D53" s="89"/>
      <c r="E53" s="87"/>
      <c r="F53" s="88"/>
      <c r="G53" s="88"/>
      <c r="H53" s="89"/>
    </row>
    <row r="54" spans="1:8" ht="45" customHeight="1" thickBot="1" x14ac:dyDescent="0.3">
      <c r="A54" s="151" t="s">
        <v>105</v>
      </c>
      <c r="B54" s="152"/>
      <c r="C54" s="151" t="e">
        <f>#REF!</f>
        <v>#REF!</v>
      </c>
      <c r="D54" s="152"/>
      <c r="E54" s="151" t="s">
        <v>105</v>
      </c>
      <c r="F54" s="152"/>
      <c r="G54" s="151" t="e">
        <f>#REF!</f>
        <v>#REF!</v>
      </c>
      <c r="H54" s="152"/>
    </row>
    <row r="55" spans="1:8" ht="32.25" customHeight="1" thickBot="1" x14ac:dyDescent="0.3">
      <c r="A55" s="151" t="s">
        <v>60</v>
      </c>
      <c r="B55" s="152"/>
      <c r="C55" s="153">
        <f>C7</f>
        <v>46058</v>
      </c>
      <c r="D55" s="154"/>
      <c r="E55" s="151" t="s">
        <v>60</v>
      </c>
      <c r="F55" s="152"/>
      <c r="G55" s="153">
        <f>C7</f>
        <v>46058</v>
      </c>
      <c r="H55" s="154"/>
    </row>
    <row r="56" spans="1:8" ht="15.75" thickBot="1" x14ac:dyDescent="0.3">
      <c r="A56" s="155" t="s">
        <v>106</v>
      </c>
      <c r="B56" s="156"/>
      <c r="C56" s="157" t="e">
        <f>#REF!</f>
        <v>#REF!</v>
      </c>
      <c r="D56" s="156"/>
      <c r="E56" s="155" t="s">
        <v>106</v>
      </c>
      <c r="F56" s="156"/>
      <c r="G56" s="157" t="e">
        <f>#REF!</f>
        <v>#REF!</v>
      </c>
      <c r="H56" s="156"/>
    </row>
    <row r="57" spans="1:8" x14ac:dyDescent="0.25">
      <c r="A57" s="84"/>
      <c r="B57" s="85"/>
      <c r="C57" s="85"/>
      <c r="D57" s="86"/>
      <c r="E57" s="84"/>
      <c r="F57" s="85"/>
      <c r="G57" s="85"/>
      <c r="H57" s="86"/>
    </row>
    <row r="58" spans="1:8" x14ac:dyDescent="0.25">
      <c r="A58" s="87"/>
      <c r="B58" s="88"/>
      <c r="C58" s="88"/>
      <c r="D58" s="89"/>
      <c r="E58" s="87"/>
      <c r="F58" s="88"/>
      <c r="G58" s="88"/>
      <c r="H58" s="89"/>
    </row>
    <row r="59" spans="1:8" x14ac:dyDescent="0.25">
      <c r="A59" s="87"/>
      <c r="B59" s="88"/>
      <c r="C59" s="88"/>
      <c r="D59" s="89"/>
      <c r="E59" s="87"/>
      <c r="F59" s="88"/>
      <c r="G59" s="88"/>
      <c r="H59" s="89"/>
    </row>
    <row r="60" spans="1:8" x14ac:dyDescent="0.25">
      <c r="A60" s="87"/>
      <c r="B60" s="88"/>
      <c r="C60" s="88"/>
      <c r="D60" s="89"/>
      <c r="E60" s="87"/>
      <c r="F60" s="88"/>
      <c r="G60" s="88"/>
      <c r="H60" s="89"/>
    </row>
    <row r="61" spans="1:8" ht="15.75" thickBot="1" x14ac:dyDescent="0.3">
      <c r="A61" s="87"/>
      <c r="B61" s="88"/>
      <c r="C61" s="88"/>
      <c r="D61" s="89"/>
      <c r="E61" s="87"/>
      <c r="F61" s="88"/>
      <c r="G61" s="88"/>
      <c r="H61" s="89"/>
    </row>
    <row r="62" spans="1:8" ht="45" customHeight="1" thickBot="1" x14ac:dyDescent="0.3">
      <c r="A62" s="151" t="s">
        <v>105</v>
      </c>
      <c r="B62" s="152"/>
      <c r="C62" s="151" t="e">
        <f>#REF!</f>
        <v>#REF!</v>
      </c>
      <c r="D62" s="152"/>
      <c r="E62" s="151" t="s">
        <v>105</v>
      </c>
      <c r="F62" s="152"/>
      <c r="G62" s="151" t="e">
        <f>#REF!</f>
        <v>#REF!</v>
      </c>
      <c r="H62" s="152"/>
    </row>
    <row r="63" spans="1:8" ht="32.25" customHeight="1" thickBot="1" x14ac:dyDescent="0.3">
      <c r="A63" s="151" t="s">
        <v>60</v>
      </c>
      <c r="B63" s="152"/>
      <c r="C63" s="153">
        <f>C7</f>
        <v>46058</v>
      </c>
      <c r="D63" s="154"/>
      <c r="E63" s="151" t="s">
        <v>60</v>
      </c>
      <c r="F63" s="152"/>
      <c r="G63" s="153">
        <f>C7</f>
        <v>46058</v>
      </c>
      <c r="H63" s="154"/>
    </row>
    <row r="64" spans="1:8" ht="15.75" thickBot="1" x14ac:dyDescent="0.3">
      <c r="A64" s="155" t="s">
        <v>106</v>
      </c>
      <c r="B64" s="156"/>
      <c r="C64" s="157" t="e">
        <f>#REF!</f>
        <v>#REF!</v>
      </c>
      <c r="D64" s="156"/>
      <c r="E64" s="155" t="s">
        <v>106</v>
      </c>
      <c r="F64" s="156"/>
      <c r="G64" s="157" t="e">
        <f>#REF!</f>
        <v>#REF!</v>
      </c>
      <c r="H64" s="156"/>
    </row>
    <row r="65" spans="1:8" x14ac:dyDescent="0.25">
      <c r="A65" s="84"/>
      <c r="B65" s="85"/>
      <c r="C65" s="85"/>
      <c r="D65" s="86"/>
      <c r="E65" s="84"/>
      <c r="F65" s="85"/>
      <c r="G65" s="85"/>
      <c r="H65" s="86"/>
    </row>
    <row r="66" spans="1:8" x14ac:dyDescent="0.25">
      <c r="A66" s="87"/>
      <c r="B66" s="88"/>
      <c r="C66" s="88"/>
      <c r="D66" s="89"/>
      <c r="E66" s="87"/>
      <c r="F66" s="88"/>
      <c r="G66" s="88"/>
      <c r="H66" s="89"/>
    </row>
    <row r="67" spans="1:8" x14ac:dyDescent="0.25">
      <c r="A67" s="87"/>
      <c r="B67" s="88"/>
      <c r="C67" s="88"/>
      <c r="D67" s="89"/>
      <c r="E67" s="87"/>
      <c r="F67" s="88"/>
      <c r="G67" s="88"/>
      <c r="H67" s="89"/>
    </row>
    <row r="68" spans="1:8" x14ac:dyDescent="0.25">
      <c r="A68" s="87"/>
      <c r="B68" s="88"/>
      <c r="C68" s="88"/>
      <c r="D68" s="89"/>
      <c r="E68" s="87"/>
      <c r="F68" s="88"/>
      <c r="G68" s="88"/>
      <c r="H68" s="89"/>
    </row>
    <row r="69" spans="1:8" ht="15.75" thickBot="1" x14ac:dyDescent="0.3">
      <c r="A69" s="87"/>
      <c r="B69" s="88"/>
      <c r="C69" s="88"/>
      <c r="D69" s="89"/>
      <c r="E69" s="87"/>
      <c r="F69" s="88"/>
      <c r="G69" s="88"/>
      <c r="H69" s="89"/>
    </row>
    <row r="70" spans="1:8" ht="45" customHeight="1" thickBot="1" x14ac:dyDescent="0.3">
      <c r="A70" s="151" t="s">
        <v>105</v>
      </c>
      <c r="B70" s="152"/>
      <c r="C70" s="151" t="e">
        <f>#REF!</f>
        <v>#REF!</v>
      </c>
      <c r="D70" s="152"/>
      <c r="E70" s="151" t="s">
        <v>105</v>
      </c>
      <c r="F70" s="152"/>
      <c r="G70" s="151" t="e">
        <f>#REF!</f>
        <v>#REF!</v>
      </c>
      <c r="H70" s="152"/>
    </row>
    <row r="71" spans="1:8" ht="32.25" customHeight="1" thickBot="1" x14ac:dyDescent="0.3">
      <c r="A71" s="151" t="s">
        <v>60</v>
      </c>
      <c r="B71" s="152"/>
      <c r="C71" s="153">
        <f>C7</f>
        <v>46058</v>
      </c>
      <c r="D71" s="154"/>
      <c r="E71" s="151" t="s">
        <v>60</v>
      </c>
      <c r="F71" s="152"/>
      <c r="G71" s="153">
        <f>C7</f>
        <v>46058</v>
      </c>
      <c r="H71" s="154"/>
    </row>
    <row r="72" spans="1:8" ht="15.75" thickBot="1" x14ac:dyDescent="0.3">
      <c r="A72" s="155" t="s">
        <v>106</v>
      </c>
      <c r="B72" s="156"/>
      <c r="C72" s="157" t="e">
        <f>#REF!</f>
        <v>#REF!</v>
      </c>
      <c r="D72" s="156"/>
      <c r="E72" s="155" t="s">
        <v>106</v>
      </c>
      <c r="F72" s="156"/>
      <c r="G72" s="157" t="e">
        <f>#REF!</f>
        <v>#REF!</v>
      </c>
      <c r="H72" s="156"/>
    </row>
    <row r="73" spans="1:8" x14ac:dyDescent="0.25">
      <c r="A73" s="84"/>
      <c r="B73" s="85"/>
      <c r="C73" s="85"/>
      <c r="D73" s="86"/>
      <c r="E73" s="84"/>
      <c r="F73" s="85"/>
      <c r="G73" s="85"/>
      <c r="H73" s="86"/>
    </row>
    <row r="74" spans="1:8" x14ac:dyDescent="0.25">
      <c r="A74" s="87"/>
      <c r="B74" s="88"/>
      <c r="C74" s="88"/>
      <c r="D74" s="89"/>
      <c r="E74" s="87"/>
      <c r="F74" s="88"/>
      <c r="G74" s="88"/>
      <c r="H74" s="89"/>
    </row>
    <row r="75" spans="1:8" x14ac:dyDescent="0.25">
      <c r="A75" s="87"/>
      <c r="B75" s="88"/>
      <c r="C75" s="88"/>
      <c r="D75" s="89"/>
      <c r="E75" s="87"/>
      <c r="F75" s="88"/>
      <c r="G75" s="88"/>
      <c r="H75" s="89"/>
    </row>
    <row r="76" spans="1:8" x14ac:dyDescent="0.25">
      <c r="A76" s="87"/>
      <c r="B76" s="88"/>
      <c r="C76" s="88"/>
      <c r="D76" s="89"/>
      <c r="E76" s="87"/>
      <c r="F76" s="88"/>
      <c r="G76" s="88"/>
      <c r="H76" s="89"/>
    </row>
    <row r="77" spans="1:8" ht="15.75" thickBot="1" x14ac:dyDescent="0.3">
      <c r="A77" s="87"/>
      <c r="B77" s="88"/>
      <c r="C77" s="88"/>
      <c r="D77" s="89"/>
      <c r="E77" s="87"/>
      <c r="F77" s="88"/>
      <c r="G77" s="88"/>
      <c r="H77" s="89"/>
    </row>
    <row r="78" spans="1:8" ht="45" customHeight="1" thickBot="1" x14ac:dyDescent="0.3">
      <c r="A78" s="151" t="s">
        <v>105</v>
      </c>
      <c r="B78" s="152"/>
      <c r="C78" s="151" t="e">
        <f>#REF!</f>
        <v>#REF!</v>
      </c>
      <c r="D78" s="152"/>
      <c r="E78" s="151" t="s">
        <v>105</v>
      </c>
      <c r="F78" s="152"/>
      <c r="G78" s="151" t="e">
        <f>#REF!</f>
        <v>#REF!</v>
      </c>
      <c r="H78" s="152"/>
    </row>
    <row r="79" spans="1:8" ht="32.25" customHeight="1" thickBot="1" x14ac:dyDescent="0.3">
      <c r="A79" s="151" t="s">
        <v>60</v>
      </c>
      <c r="B79" s="152"/>
      <c r="C79" s="153">
        <f>C7</f>
        <v>46058</v>
      </c>
      <c r="D79" s="154"/>
      <c r="E79" s="151" t="s">
        <v>60</v>
      </c>
      <c r="F79" s="152"/>
      <c r="G79" s="153">
        <f>C7</f>
        <v>46058</v>
      </c>
      <c r="H79" s="154"/>
    </row>
    <row r="80" spans="1:8" ht="15.75" thickBot="1" x14ac:dyDescent="0.3">
      <c r="A80" s="155" t="s">
        <v>106</v>
      </c>
      <c r="B80" s="156"/>
      <c r="C80" s="157" t="e">
        <f>#REF!</f>
        <v>#REF!</v>
      </c>
      <c r="D80" s="156"/>
      <c r="E80" s="155" t="s">
        <v>106</v>
      </c>
      <c r="F80" s="156"/>
      <c r="G80" s="157" t="e">
        <f>#REF!</f>
        <v>#REF!</v>
      </c>
      <c r="H80" s="156"/>
    </row>
  </sheetData>
  <mergeCells count="120">
    <mergeCell ref="A6:B6"/>
    <mergeCell ref="C6:D6"/>
    <mergeCell ref="E6:F6"/>
    <mergeCell ref="G6:H6"/>
    <mergeCell ref="A7:B7"/>
    <mergeCell ref="C7:D7"/>
    <mergeCell ref="E7:F7"/>
    <mergeCell ref="G7:H7"/>
    <mergeCell ref="A15:B15"/>
    <mergeCell ref="C15:D15"/>
    <mergeCell ref="E15:F15"/>
    <mergeCell ref="G15:H15"/>
    <mergeCell ref="A16:B16"/>
    <mergeCell ref="C16:D16"/>
    <mergeCell ref="E16:F16"/>
    <mergeCell ref="G16:H16"/>
    <mergeCell ref="A8:B8"/>
    <mergeCell ref="C8:D8"/>
    <mergeCell ref="E8:F8"/>
    <mergeCell ref="G8:H8"/>
    <mergeCell ref="A14:B14"/>
    <mergeCell ref="C14:D14"/>
    <mergeCell ref="E14:F14"/>
    <mergeCell ref="G14:H14"/>
    <mergeCell ref="A24:B24"/>
    <mergeCell ref="C24:D24"/>
    <mergeCell ref="E24:F24"/>
    <mergeCell ref="G24:H24"/>
    <mergeCell ref="A30:B30"/>
    <mergeCell ref="C30:D30"/>
    <mergeCell ref="E30:F30"/>
    <mergeCell ref="G30:H30"/>
    <mergeCell ref="A22:B22"/>
    <mergeCell ref="C22:D22"/>
    <mergeCell ref="E22:F22"/>
    <mergeCell ref="G22:H22"/>
    <mergeCell ref="A23:B23"/>
    <mergeCell ref="C23:D23"/>
    <mergeCell ref="E23:F23"/>
    <mergeCell ref="G23:H23"/>
    <mergeCell ref="A38:B38"/>
    <mergeCell ref="C38:D38"/>
    <mergeCell ref="E38:F38"/>
    <mergeCell ref="G38:H38"/>
    <mergeCell ref="A39:B39"/>
    <mergeCell ref="C39:D39"/>
    <mergeCell ref="E39:F39"/>
    <mergeCell ref="G39:H39"/>
    <mergeCell ref="A31:B31"/>
    <mergeCell ref="C31:D31"/>
    <mergeCell ref="E31:F31"/>
    <mergeCell ref="G31:H31"/>
    <mergeCell ref="A32:B32"/>
    <mergeCell ref="C32:D32"/>
    <mergeCell ref="E32:F32"/>
    <mergeCell ref="G32:H32"/>
    <mergeCell ref="A47:B47"/>
    <mergeCell ref="C47:D47"/>
    <mergeCell ref="E47:F47"/>
    <mergeCell ref="G47:H47"/>
    <mergeCell ref="A48:B48"/>
    <mergeCell ref="C48:D48"/>
    <mergeCell ref="E48:F48"/>
    <mergeCell ref="G48:H48"/>
    <mergeCell ref="A40:B40"/>
    <mergeCell ref="C40:D40"/>
    <mergeCell ref="E40:F40"/>
    <mergeCell ref="G40:H40"/>
    <mergeCell ref="A46:B46"/>
    <mergeCell ref="C46:D46"/>
    <mergeCell ref="E46:F46"/>
    <mergeCell ref="G46:H46"/>
    <mergeCell ref="A56:B56"/>
    <mergeCell ref="C56:D56"/>
    <mergeCell ref="E56:F56"/>
    <mergeCell ref="G56:H56"/>
    <mergeCell ref="A62:B62"/>
    <mergeCell ref="C62:D62"/>
    <mergeCell ref="E62:F62"/>
    <mergeCell ref="G62:H62"/>
    <mergeCell ref="A54:B54"/>
    <mergeCell ref="C54:D54"/>
    <mergeCell ref="E54:F54"/>
    <mergeCell ref="G54:H54"/>
    <mergeCell ref="A55:B55"/>
    <mergeCell ref="C55:D55"/>
    <mergeCell ref="E55:F55"/>
    <mergeCell ref="G55:H55"/>
    <mergeCell ref="A70:B70"/>
    <mergeCell ref="C70:D70"/>
    <mergeCell ref="E70:F70"/>
    <mergeCell ref="G70:H70"/>
    <mergeCell ref="A71:B71"/>
    <mergeCell ref="C71:D71"/>
    <mergeCell ref="E71:F71"/>
    <mergeCell ref="G71:H71"/>
    <mergeCell ref="A63:B63"/>
    <mergeCell ref="C63:D63"/>
    <mergeCell ref="E63:F63"/>
    <mergeCell ref="G63:H63"/>
    <mergeCell ref="A64:B64"/>
    <mergeCell ref="C64:D64"/>
    <mergeCell ref="E64:F64"/>
    <mergeCell ref="G64:H64"/>
    <mergeCell ref="A79:B79"/>
    <mergeCell ref="C79:D79"/>
    <mergeCell ref="E79:F79"/>
    <mergeCell ref="G79:H79"/>
    <mergeCell ref="A80:B80"/>
    <mergeCell ref="C80:D80"/>
    <mergeCell ref="E80:F80"/>
    <mergeCell ref="G80:H80"/>
    <mergeCell ref="A72:B72"/>
    <mergeCell ref="C72:D72"/>
    <mergeCell ref="E72:F72"/>
    <mergeCell ref="G72:H72"/>
    <mergeCell ref="A78:B78"/>
    <mergeCell ref="C78:D78"/>
    <mergeCell ref="E78:F78"/>
    <mergeCell ref="G78:H78"/>
  </mergeCells>
  <pageMargins left="0.7" right="0.7" top="0.75" bottom="0.75" header="0.3" footer="0.3"/>
  <pageSetup paperSize="9" scale="89" orientation="portrait" r:id="rId1"/>
  <rowBreaks count="1" manualBreakCount="1">
    <brk id="40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132091-F04E-47E7-8DC5-0861983801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Рассчеты (3)</vt:lpstr>
      <vt:lpstr>Лестницы, ограждения</vt:lpstr>
      <vt:lpstr>Бирки</vt:lpstr>
      <vt:lpstr>'Лестницы, ограждения'!Область_печати</vt:lpstr>
      <vt:lpstr>'Рассчеты (3)'!Область_печати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Lab4</dc:creator>
  <cp:lastModifiedBy>User 89</cp:lastModifiedBy>
  <cp:lastPrinted>2026-04-01T05:47:10Z</cp:lastPrinted>
  <dcterms:created xsi:type="dcterms:W3CDTF">2015-06-01T08:05:49Z</dcterms:created>
  <dcterms:modified xsi:type="dcterms:W3CDTF">2026-04-01T05:47:53Z</dcterms:modified>
</cp:coreProperties>
</file>