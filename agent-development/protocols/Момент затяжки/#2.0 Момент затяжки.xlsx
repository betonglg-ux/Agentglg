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Z:\БЕТОН\#ФОРМАТКИ\Момент затяжки\"/>
    </mc:Choice>
  </mc:AlternateContent>
  <xr:revisionPtr revIDLastSave="0" documentId="13_ncr:1_{9BA2B976-6153-4ED2-AF54-BD98D03196D6}" xr6:coauthVersionLast="47" xr6:coauthVersionMax="47" xr10:uidLastSave="{00000000-0000-0000-0000-000000000000}"/>
  <bookViews>
    <workbookView xWindow="-120" yWindow="-120" windowWidth="29040" windowHeight="15720" tabRatio="819" firstSheet="1" activeTab="1" xr2:uid="{00000000-000D-0000-FFFF-FFFF00000000}"/>
  </bookViews>
  <sheets>
    <sheet name="Рассчеты (3)" sheetId="170" state="hidden" r:id="rId1"/>
    <sheet name="Ключ на 40 - 210" sheetId="172" r:id="rId2"/>
    <sheet name="Ключ на 150 - 750" sheetId="181" r:id="rId3"/>
    <sheet name="Ключ на 500 - 2300" sheetId="182" r:id="rId4"/>
  </sheets>
  <definedNames>
    <definedName name="_xlnm.Print_Area" localSheetId="2">'Ключ на 150 - 750'!$A$1:$Y$60</definedName>
    <definedName name="_xlnm.Print_Area" localSheetId="1">'Ключ на 40 - 210'!$A$1:$Y$60</definedName>
    <definedName name="_xlnm.Print_Area" localSheetId="3">'Ключ на 500 - 2300'!$A$1:$Y$60</definedName>
    <definedName name="_xlnm.Print_Area" localSheetId="0">'Рассчеты (3)'!$A$1:$K$59</definedName>
  </definedNames>
  <calcPr calcId="191029"/>
</workbook>
</file>

<file path=xl/calcChain.xml><?xml version="1.0" encoding="utf-8"?>
<calcChain xmlns="http://schemas.openxmlformats.org/spreadsheetml/2006/main">
  <c r="Z29" i="181" l="1"/>
  <c r="Z29" i="172"/>
  <c r="K45" i="182" l="1"/>
  <c r="K44" i="182"/>
  <c r="K43" i="182"/>
  <c r="K42" i="182"/>
  <c r="K41" i="182"/>
  <c r="K40" i="182"/>
  <c r="K39" i="182"/>
  <c r="K38" i="182"/>
  <c r="K37" i="182"/>
  <c r="K36" i="182"/>
  <c r="K35" i="182"/>
  <c r="K34" i="182"/>
  <c r="Z29" i="182"/>
  <c r="K45" i="181"/>
  <c r="K44" i="181"/>
  <c r="K43" i="181"/>
  <c r="K42" i="181"/>
  <c r="K41" i="181"/>
  <c r="K40" i="181"/>
  <c r="K39" i="181"/>
  <c r="K38" i="181"/>
  <c r="K37" i="181"/>
  <c r="K36" i="181"/>
  <c r="K35" i="181"/>
  <c r="K34" i="181"/>
  <c r="A14" i="182"/>
  <c r="R13" i="182"/>
  <c r="A14" i="181"/>
  <c r="R13" i="181"/>
  <c r="K45" i="172"/>
  <c r="K44" i="172"/>
  <c r="K43" i="172"/>
  <c r="K42" i="172"/>
  <c r="K41" i="172"/>
  <c r="K40" i="172"/>
  <c r="K39" i="172"/>
  <c r="K38" i="172"/>
  <c r="K37" i="172"/>
  <c r="K36" i="172"/>
  <c r="K35" i="172"/>
  <c r="K34" i="172"/>
  <c r="A14" i="172"/>
  <c r="A48" i="182" l="1"/>
  <c r="A48" i="181"/>
  <c r="A48" i="172"/>
  <c r="R13" i="172" l="1"/>
  <c r="B41" i="170" l="1"/>
  <c r="B40" i="170"/>
  <c r="B39" i="170"/>
  <c r="B38" i="170"/>
  <c r="B37" i="170"/>
  <c r="B36" i="170"/>
  <c r="B35" i="170"/>
  <c r="B34" i="170"/>
  <c r="B33" i="170"/>
  <c r="B32" i="170"/>
  <c r="N28" i="170"/>
  <c r="A46" i="170" l="1"/>
  <c r="C46" i="17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F49E55-11A9-4E7D-BC5B-9CCB419565AE}" keepAlive="1" name="Запрос — Таблица2" description="Соединение с запросом &quot;Таблица2&quot; в книге." type="5" refreshedVersion="0" background="1">
    <dbPr connection="Provider=Microsoft.Mashup.OleDb.1;Data Source=$Workbook$;Location=Таблица2;Extended Properties=&quot;&quot;" command="SELECT * FROM [Таблица2]"/>
  </connection>
</connections>
</file>

<file path=xl/sharedStrings.xml><?xml version="1.0" encoding="utf-8"?>
<sst xmlns="http://schemas.openxmlformats.org/spreadsheetml/2006/main" count="254" uniqueCount="107">
  <si>
    <t>Заказчик :</t>
  </si>
  <si>
    <t>Примечание :</t>
  </si>
  <si>
    <t>Оборудование, инструменты:</t>
  </si>
  <si>
    <t>Ответственные исполнители:</t>
  </si>
  <si>
    <t>Инженер:</t>
  </si>
  <si>
    <t>_________________/Симоров А.Ю./</t>
  </si>
  <si>
    <t>Заведующий строительной лабораторией:</t>
  </si>
  <si>
    <t>Протокол об испытаниях №0000.ВС/04.24 от 01.04.2024</t>
  </si>
  <si>
    <t>Анкеры механические для крепления в бетоне по ГОСТ 56731-2023</t>
  </si>
  <si>
    <t>ГОСТ 56731-2023 Анкера механические для крепления в бетоне. Методы испытаний</t>
  </si>
  <si>
    <t>Измеритель адгезии ПСО-100МГ4АД зав. 2573, свидетельство о поверке 
«ВИК-НДТ», зав. №3581, свидетельство о калибровке № К0034-1001/24 действительно до 09.01.2025;</t>
  </si>
  <si>
    <t>Методика проведения испытаний:</t>
  </si>
  <si>
    <t xml:space="preserve">Основание для проведения работ: </t>
  </si>
  <si>
    <t>СЧЕТ № 23305/14-11-25/2 от 14 ноября 2025 года</t>
  </si>
  <si>
    <t>СТО-44416204-010-2010 «Крепления анкерные. Метод определения несущей способности по результатам натурных испытаний»</t>
  </si>
  <si>
    <t>Материал</t>
  </si>
  <si>
    <t>Метод сверления</t>
  </si>
  <si>
    <t>Место проведения</t>
  </si>
  <si>
    <t>Дата испытаний</t>
  </si>
  <si>
    <t>Глубина заделки, мм</t>
  </si>
  <si>
    <t>Бурение</t>
  </si>
  <si>
    <t>Стена в/о 1-2/А-Б 
на отм. +1,050</t>
  </si>
  <si>
    <t>Тяжелый бетон В25</t>
  </si>
  <si>
    <t>t, ℃</t>
  </si>
  <si>
    <t>Вид испытаний:</t>
  </si>
  <si>
    <t xml:space="preserve">Адрес объекта:     </t>
  </si>
  <si>
    <t xml:space="preserve">Наименование объекта:     </t>
  </si>
  <si>
    <t>Испытание на вырыв</t>
  </si>
  <si>
    <t xml:space="preserve">Описание и тип анкера, наименование изготовителя: </t>
  </si>
  <si>
    <t>Дюбель для теплоизоляции 10х180мм ИЗТ, с 
металлическим стержнем и термоголовкой - ООО "HILTI"</t>
  </si>
  <si>
    <t>Расстояние между анкерами, мм</t>
  </si>
  <si>
    <t>№ С-ГА/24-06-2025/444021486 действительно до 23.06.2027; Измеритель параметров микроклимата; Метеоскоп-М; "МЕТЕОСКОП-М"; Рег. № 32014-11 зав. № 615022, свидетельство о поверке №С-ДЮП/05-07-2024/353605602 действительно до 04.07.2026. Перфоратор DeWALT, рулетка, молоток.</t>
  </si>
  <si>
    <t>Описание и тип анкера, наименование изготовителя:</t>
  </si>
  <si>
    <t>Анкер-Ш 10х180мм ИЗТ, с металлическим стержнем и термоголовкой - ООО "HILTI"</t>
  </si>
  <si>
    <t>Среднее значение нагрузки N, кН:</t>
  </si>
  <si>
    <t>Среднеквадратическое отклонение S, кН:</t>
  </si>
  <si>
    <t>Коэффициент надёжности по материалу, m:</t>
  </si>
  <si>
    <t>Коэффициент условий работы:</t>
  </si>
  <si>
    <t>Расчётное сопротивление анкерного крепления:</t>
  </si>
  <si>
    <t>Расчётное сопротивление анкерного крепления с учетом коэффициента условий работы:</t>
  </si>
  <si>
    <t>нарушение контакта анкера с бетоном</t>
  </si>
  <si>
    <t>разрушение анкера по стали</t>
  </si>
  <si>
    <t>выкалывание бетона основания</t>
  </si>
  <si>
    <t>Нагрузка</t>
  </si>
  <si>
    <t>Расч сопротивление</t>
  </si>
  <si>
    <t>Расчётное сопротивление с учетом коэффициента условий работы:</t>
  </si>
  <si>
    <t>Таблица 1</t>
  </si>
  <si>
    <t>Таблица 3</t>
  </si>
  <si>
    <t>Коэф. вариации v,
%:</t>
  </si>
  <si>
    <t>Коэф. условий работы:</t>
  </si>
  <si>
    <t>Коэф. надёжности, m:</t>
  </si>
  <si>
    <t>Коэф., К:</t>
  </si>
  <si>
    <t>Дата изготовления</t>
  </si>
  <si>
    <t>№ образца в серии</t>
  </si>
  <si>
    <t>№ испытания</t>
  </si>
  <si>
    <t>Анкер-Ш 10х180мм</t>
  </si>
  <si>
    <t>Случмежду</t>
  </si>
  <si>
    <t>Анкер-Ш 12х180мм</t>
  </si>
  <si>
    <t>Наименование объекта:</t>
  </si>
  <si>
    <t>Адрес объекта:</t>
  </si>
  <si>
    <t>Дата проведения испытаний:</t>
  </si>
  <si>
    <t>Исполнитель:</t>
  </si>
  <si>
    <t>ООО «ГЛАВЛАБГРУПП»</t>
  </si>
  <si>
    <t>ООО «АТЛАНТ»</t>
  </si>
  <si>
    <t>Квартал Издание. «Комплекс жилых домов переменной этажности со встроенно-пристроенными помещениями общественного назначения и подземной автостоянкой»</t>
  </si>
  <si>
    <t>г. Москва, внутригородское образование Нижегородское, шоссе Перовское, земельный участок с кадастровым номером 77:04:0002001:8601</t>
  </si>
  <si>
    <t>Симоров А.Ю.</t>
  </si>
  <si>
    <t>Паршутин Р.Ю.</t>
  </si>
  <si>
    <t>Испытательная лаборатория ООО «ГЛАВЛАБГРУПП»
ИНН/КПП 7724484743/772401001, ОГРН 1197746472802
Адрес: 115304, г. Москва, ул. Каспийская, дом 22, корпус 1, стр. 5, эт. 1, пом. 1, ком 5 и 5а
Аттестат аккредитации №РОСС RU.31112.И002015
Срок действия до 24 июня 2026 года. </t>
  </si>
  <si>
    <t>Методика испытаний:</t>
  </si>
  <si>
    <t>Используемое оборудование:</t>
  </si>
  <si>
    <t>Вид контроля:</t>
  </si>
  <si>
    <t>Заключение:</t>
  </si>
  <si>
    <t>УТВЕРЖДАЮ:</t>
  </si>
  <si>
    <t>(подпись)</t>
  </si>
  <si>
    <t>Ответственные исплонители:</t>
  </si>
  <si>
    <t>1. Протокол измерений касается только данных участков</t>
  </si>
  <si>
    <t>2. Не разрешается перепечатка протокола без разрешения руководителя СЛ</t>
  </si>
  <si>
    <t>СП 70.133330.2012 «Несущие и ограждающие конструкции»</t>
  </si>
  <si>
    <t xml:space="preserve">Ключи моментные предельные регулируемый KING TONY мод. 34862-3FF, зав. № 2108627733, свидетельство о поверке № С-АКЗ/22-09-2025/467221574, действительно до 21.09.2026 </t>
  </si>
  <si>
    <t>Результаты испытаний:</t>
  </si>
  <si>
    <t>№п/п</t>
  </si>
  <si>
    <t>Наименование узла</t>
  </si>
  <si>
    <t>Наименование болта</t>
  </si>
  <si>
    <t>Наименование и диаметр</t>
  </si>
  <si>
    <t>Момент закручивания</t>
  </si>
  <si>
    <t>Определение момента закручивания</t>
  </si>
  <si>
    <t>по определению момента закручивания</t>
  </si>
  <si>
    <t>Узлы крепления болтового соединения металлоконструкций в/о 91.7ф/936.8ф
 на отм. +8,600</t>
  </si>
  <si>
    <t>М12 (кл.пр.8.8)</t>
  </si>
  <si>
    <t>1 болт</t>
  </si>
  <si>
    <t>2 болт</t>
  </si>
  <si>
    <t>3 болт</t>
  </si>
  <si>
    <t>4 болт</t>
  </si>
  <si>
    <t>5 болт</t>
  </si>
  <si>
    <t>6 болт</t>
  </si>
  <si>
    <t>7 болт</t>
  </si>
  <si>
    <t>8 болт</t>
  </si>
  <si>
    <t>9 болт</t>
  </si>
  <si>
    <t>10 болт</t>
  </si>
  <si>
    <t>11 болт</t>
  </si>
  <si>
    <t>12 болт</t>
  </si>
  <si>
    <t>Анкер М20</t>
  </si>
  <si>
    <t>М30 (кл.пр.10.9)</t>
  </si>
  <si>
    <t>Ключи моментные предельные регулируемый, зав. № 2110644835, свидетельство о поверке № С-АКЗ/25-06-2025/442492718, действительно до 24.06.2026</t>
  </si>
  <si>
    <t>Ключи моментные предельные NORGAU серии NTW, мод. NTW25-075R, зав. № 161110009343, свидетельство о поверке № С-АКЗ/17-09-2025/466478505, действительно до 16.09.2026</t>
  </si>
  <si>
    <t>Ключи моментные шкальные; CMTZ; CMTZ100A, зав. № 23071796, свидетельство о поверке С-ЕОК/20-02-2026/505566604, действительно до 19.02.2027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</si>
</sst>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sz val="8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u/>
      <sz val="8"/>
      <color theme="10"/>
      <name val="Times New Roman"/>
      <family val="1"/>
      <charset val="204"/>
    </font>
    <font>
      <sz val="9"/>
      <color theme="1"/>
      <name val="Times New Roman"/>
      <family val="2"/>
      <charset val="204"/>
    </font>
    <font>
      <sz val="8"/>
      <color rgb="FF000000"/>
      <name val="Times New Roman"/>
      <family val="1"/>
      <charset val="204"/>
    </font>
    <font>
      <sz val="8"/>
      <color theme="1"/>
      <name val="Times New Roman"/>
      <family val="2"/>
      <charset val="204"/>
    </font>
    <font>
      <b/>
      <sz val="8"/>
      <color theme="1"/>
      <name val="Times New Roman"/>
      <family val="1"/>
      <charset val="204"/>
    </font>
    <font>
      <sz val="10"/>
      <color theme="1"/>
      <name val="Times New Roman"/>
      <family val="2"/>
      <charset val="204"/>
    </font>
    <font>
      <sz val="10"/>
      <name val="Times New Roman"/>
      <family val="2"/>
      <charset val="204"/>
    </font>
    <font>
      <b/>
      <sz val="14"/>
      <color rgb="FFFFC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1"/>
      <name val="Times New Roman"/>
      <family val="1"/>
      <charset val="204"/>
    </font>
    <font>
      <sz val="8"/>
      <name val="Times New Roman"/>
      <family val="2"/>
      <charset val="204"/>
    </font>
    <font>
      <b/>
      <sz val="12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3" fillId="0" borderId="0"/>
  </cellStyleXfs>
  <cellXfs count="134">
    <xf numFmtId="0" fontId="0" fillId="0" borderId="0" xfId="0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 vertical="center"/>
    </xf>
    <xf numFmtId="0" fontId="8" fillId="0" borderId="0" xfId="1" applyFont="1" applyAlignment="1">
      <alignment horizontal="right"/>
    </xf>
    <xf numFmtId="0" fontId="15" fillId="0" borderId="0" xfId="0" applyFont="1" applyAlignment="1">
      <alignment horizontal="right"/>
    </xf>
    <xf numFmtId="0" fontId="15" fillId="0" borderId="0" xfId="0" applyFont="1"/>
    <xf numFmtId="14" fontId="15" fillId="0" borderId="0" xfId="0" applyNumberFormat="1" applyFont="1"/>
    <xf numFmtId="0" fontId="6" fillId="0" borderId="0" xfId="1" applyFont="1" applyAlignment="1">
      <alignment wrapText="1"/>
    </xf>
    <xf numFmtId="0" fontId="10" fillId="0" borderId="0" xfId="1" applyFont="1" applyAlignment="1">
      <alignment wrapText="1"/>
    </xf>
    <xf numFmtId="0" fontId="10" fillId="0" borderId="0" xfId="1" applyFont="1" applyAlignment="1">
      <alignment horizontal="right" wrapText="1"/>
    </xf>
    <xf numFmtId="0" fontId="8" fillId="0" borderId="0" xfId="1" applyFont="1"/>
    <xf numFmtId="0" fontId="10" fillId="0" borderId="0" xfId="1" applyFont="1"/>
    <xf numFmtId="0" fontId="10" fillId="0" borderId="0" xfId="1" applyFont="1" applyAlignment="1">
      <alignment horizontal="right"/>
    </xf>
    <xf numFmtId="0" fontId="19" fillId="0" borderId="0" xfId="0" applyFont="1" applyAlignment="1">
      <alignment vertical="center"/>
    </xf>
    <xf numFmtId="0" fontId="12" fillId="0" borderId="0" xfId="2" applyFont="1" applyFill="1" applyBorder="1" applyAlignment="1" applyProtection="1"/>
    <xf numFmtId="0" fontId="14" fillId="0" borderId="0" xfId="0" applyFont="1" applyAlignment="1">
      <alignment vertical="top"/>
    </xf>
    <xf numFmtId="0" fontId="11" fillId="0" borderId="0" xfId="0" applyFont="1"/>
    <xf numFmtId="0" fontId="16" fillId="0" borderId="0" xfId="1" applyFont="1" applyAlignment="1">
      <alignment horizontal="right"/>
    </xf>
    <xf numFmtId="0" fontId="15" fillId="0" borderId="0" xfId="0" applyFont="1" applyAlignment="1">
      <alignment vertical="top"/>
    </xf>
    <xf numFmtId="0" fontId="8" fillId="0" borderId="0" xfId="1" applyFont="1" applyAlignment="1">
      <alignment horizontal="right" vertical="top"/>
    </xf>
    <xf numFmtId="0" fontId="13" fillId="0" borderId="0" xfId="0" applyFont="1"/>
    <xf numFmtId="0" fontId="9" fillId="0" borderId="0" xfId="0" applyFont="1"/>
    <xf numFmtId="0" fontId="8" fillId="0" borderId="0" xfId="0" applyFont="1" applyAlignment="1">
      <alignment vertical="top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8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center" wrapText="1"/>
    </xf>
    <xf numFmtId="0" fontId="0" fillId="0" borderId="1" xfId="0" applyBorder="1"/>
    <xf numFmtId="164" fontId="9" fillId="0" borderId="0" xfId="0" applyNumberFormat="1" applyFont="1" applyAlignment="1">
      <alignment horizontal="center" vertical="center" wrapText="1"/>
    </xf>
    <xf numFmtId="0" fontId="20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4" fontId="22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20" fillId="2" borderId="6" xfId="0" applyFont="1" applyFill="1" applyBorder="1" applyAlignment="1">
      <alignment horizontal="left" vertical="top" wrapText="1"/>
    </xf>
    <xf numFmtId="0" fontId="0" fillId="2" borderId="0" xfId="0" applyFill="1"/>
    <xf numFmtId="0" fontId="20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1" xfId="0" applyFill="1" applyBorder="1"/>
    <xf numFmtId="0" fontId="20" fillId="2" borderId="0" xfId="0" applyFont="1" applyFill="1" applyAlignment="1">
      <alignment horizontal="left" vertical="top" wrapText="1"/>
    </xf>
    <xf numFmtId="0" fontId="20" fillId="2" borderId="0" xfId="0" applyFont="1" applyFill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14" fontId="8" fillId="0" borderId="0" xfId="0" applyNumberFormat="1" applyFont="1" applyAlignment="1">
      <alignment horizontal="right" vertical="center" wrapText="1"/>
    </xf>
    <xf numFmtId="0" fontId="2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 wrapText="1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2" fillId="0" borderId="2" xfId="0" applyFont="1" applyBorder="1" applyAlignment="1">
      <alignment horizontal="center" vertical="top" wrapText="1"/>
    </xf>
    <xf numFmtId="0" fontId="22" fillId="0" borderId="3" xfId="0" applyFont="1" applyBorder="1" applyAlignment="1">
      <alignment horizontal="center" vertical="top" wrapText="1"/>
    </xf>
    <xf numFmtId="0" fontId="22" fillId="0" borderId="4" xfId="0" applyFont="1" applyBorder="1" applyAlignment="1">
      <alignment horizontal="center" vertical="top" wrapText="1"/>
    </xf>
    <xf numFmtId="0" fontId="8" fillId="0" borderId="0" xfId="0" applyFont="1" applyAlignment="1">
      <alignment horizontal="left" vertical="center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right" vertical="center" wrapText="1"/>
    </xf>
    <xf numFmtId="14" fontId="24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 vertical="top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top" wrapText="1"/>
    </xf>
    <xf numFmtId="0" fontId="21" fillId="0" borderId="2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top" wrapText="1"/>
    </xf>
    <xf numFmtId="0" fontId="20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17" fillId="0" borderId="0" xfId="0" applyFont="1" applyAlignment="1">
      <alignment horizontal="left" wrapText="1"/>
    </xf>
    <xf numFmtId="0" fontId="9" fillId="0" borderId="0" xfId="0" applyFont="1" applyAlignment="1">
      <alignment vertical="top" wrapText="1"/>
    </xf>
    <xf numFmtId="0" fontId="18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/>
    </xf>
    <xf numFmtId="0" fontId="11" fillId="0" borderId="0" xfId="0" applyFont="1" applyAlignment="1">
      <alignment vertical="top"/>
    </xf>
    <xf numFmtId="0" fontId="15" fillId="0" borderId="0" xfId="0" applyFont="1" applyAlignment="1">
      <alignment horizontal="right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7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14" fontId="9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20" fillId="0" borderId="0" xfId="0" applyFont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20" fillId="0" borderId="0" xfId="0" applyFont="1" applyAlignment="1">
      <alignment horizontal="left" vertical="center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vertical="top"/>
    </xf>
    <xf numFmtId="0" fontId="20" fillId="0" borderId="0" xfId="0" applyFont="1"/>
    <xf numFmtId="0" fontId="9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7" fillId="0" borderId="0" xfId="0" applyFont="1"/>
    <xf numFmtId="0" fontId="9" fillId="0" borderId="5" xfId="11" applyFont="1" applyBorder="1" applyAlignment="1">
      <alignment horizontal="center" vertical="center"/>
    </xf>
    <xf numFmtId="0" fontId="9" fillId="0" borderId="0" xfId="11" applyFont="1" applyAlignment="1">
      <alignment horizontal="left" vertical="center"/>
    </xf>
    <xf numFmtId="0" fontId="27" fillId="0" borderId="6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11" applyFont="1" applyAlignment="1">
      <alignment vertical="center"/>
    </xf>
    <xf numFmtId="0" fontId="9" fillId="0" borderId="0" xfId="1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28" fillId="0" borderId="0" xfId="0" applyFont="1" applyAlignment="1">
      <alignment vertical="center" wrapText="1"/>
    </xf>
    <xf numFmtId="0" fontId="28" fillId="0" borderId="0" xfId="0" applyFont="1"/>
  </cellXfs>
  <cellStyles count="12">
    <cellStyle name="Гиперссылка" xfId="2" builtinId="8"/>
    <cellStyle name="Обычный" xfId="0" builtinId="0"/>
    <cellStyle name="Обычный 2" xfId="1" xr:uid="{00000000-0005-0000-0000-000002000000}"/>
    <cellStyle name="Обычный 2 2" xfId="3" xr:uid="{00000000-0005-0000-0000-000003000000}"/>
    <cellStyle name="Обычный 2 2 2" xfId="5" xr:uid="{00000000-0005-0000-0000-000004000000}"/>
    <cellStyle name="Обычный 2 2 2 2" xfId="9" xr:uid="{00000000-0005-0000-0000-000005000000}"/>
    <cellStyle name="Обычный 2 2 3" xfId="7" xr:uid="{00000000-0005-0000-0000-000006000000}"/>
    <cellStyle name="Обычный 2 3" xfId="4" xr:uid="{00000000-0005-0000-0000-000007000000}"/>
    <cellStyle name="Обычный 2 3 2" xfId="8" xr:uid="{00000000-0005-0000-0000-000008000000}"/>
    <cellStyle name="Обычный 2 4" xfId="6" xr:uid="{00000000-0005-0000-0000-000009000000}"/>
    <cellStyle name="Обычный 2 5" xfId="10" xr:uid="{00000000-0005-0000-0000-00000A000000}"/>
    <cellStyle name="Обычный 3" xfId="11" xr:uid="{AEEE581A-898E-47B8-9840-E412FD98078A}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1066801</xdr:colOff>
      <xdr:row>0</xdr:row>
      <xdr:rowOff>0</xdr:rowOff>
    </xdr:from>
    <xdr:to>
      <xdr:col>11</xdr:col>
      <xdr:colOff>19051</xdr:colOff>
      <xdr:row>7</xdr:row>
      <xdr:rowOff>104775</xdr:rowOff>
    </xdr:to>
    <xdr:sp macro="" textlink="">
      <xdr:nvSpPr>
        <xdr:cNvPr id="2" name="Надпись 2">
          <a:extLst>
            <a:ext uri="{FF2B5EF4-FFF2-40B4-BE49-F238E27FC236}">
              <a16:creationId xmlns:a16="http://schemas.microsoft.com/office/drawing/2014/main" id="{986F22D6-029D-498B-B5D5-5402F2649C42}"/>
            </a:ext>
          </a:extLst>
        </xdr:cNvPr>
        <xdr:cNvSpPr txBox="1">
          <a:spLocks noChangeArrowheads="1"/>
        </xdr:cNvSpPr>
      </xdr:nvSpPr>
      <xdr:spPr bwMode="auto">
        <a:xfrm>
          <a:off x="1971676" y="0"/>
          <a:ext cx="5257800" cy="1190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Испытательная лаборатория ООО «ГЛАВЛАБГРУПП» </a:t>
          </a:r>
        </a:p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ИНН/КПП 7724484743/772401001, ОГРН 1197746472802 </a:t>
          </a:r>
        </a:p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Адрес: 115304, г. Москва, ул. Каспийская, дом 22, корпус 1, стр. 5, эт. 1, пом. 1, ком 5 и 5а </a:t>
          </a:r>
        </a:p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Аттестат аккредитации №РОСС </a:t>
          </a:r>
          <a:r>
            <a:rPr lang="en-US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RU.31112.</a:t>
          </a: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И002015 </a:t>
          </a:r>
        </a:p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Срок действия до 24 июня 2026 года</a:t>
          </a:r>
          <a:r>
            <a:rPr lang="ru-RU" sz="10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  <a:p>
          <a:pPr>
            <a:lnSpc>
              <a:spcPct val="150000"/>
            </a:lnSpc>
            <a:spcAft>
              <a:spcPts val="800"/>
            </a:spcAft>
          </a:pPr>
          <a:r>
            <a:rPr lang="ru-RU" sz="10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 editAs="oneCell">
    <xdr:from>
      <xdr:col>11</xdr:col>
      <xdr:colOff>47625</xdr:colOff>
      <xdr:row>9</xdr:row>
      <xdr:rowOff>95250</xdr:rowOff>
    </xdr:from>
    <xdr:to>
      <xdr:col>18</xdr:col>
      <xdr:colOff>400051</xdr:colOff>
      <xdr:row>10</xdr:row>
      <xdr:rowOff>177703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E01C0AC-8355-4E35-A627-5BFA9B84F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8050" y="1543050"/>
          <a:ext cx="4619626" cy="263428"/>
        </a:xfrm>
        <a:prstGeom prst="rect">
          <a:avLst/>
        </a:prstGeom>
      </xdr:spPr>
    </xdr:pic>
    <xdr:clientData/>
  </xdr:twoCellAnchor>
  <xdr:twoCellAnchor editAs="oneCell">
    <xdr:from>
      <xdr:col>12</xdr:col>
      <xdr:colOff>272084</xdr:colOff>
      <xdr:row>41</xdr:row>
      <xdr:rowOff>161925</xdr:rowOff>
    </xdr:from>
    <xdr:to>
      <xdr:col>19</xdr:col>
      <xdr:colOff>534768</xdr:colOff>
      <xdr:row>44</xdr:row>
      <xdr:rowOff>152400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C894D5B3-0219-4379-A381-19214CA0D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2109" y="6200775"/>
          <a:ext cx="4529884" cy="1019175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200025</xdr:colOff>
      <xdr:row>53</xdr:row>
      <xdr:rowOff>133350</xdr:rowOff>
    </xdr:from>
    <xdr:to>
      <xdr:col>26</xdr:col>
      <xdr:colOff>180006</xdr:colOff>
      <xdr:row>59</xdr:row>
      <xdr:rowOff>37962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15CFA5F-71B1-4B5A-851A-EE8DBE90C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10450" y="9991725"/>
          <a:ext cx="7752381" cy="11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BAA89-4E5C-42A7-B24D-60D0897EB0D1}">
  <sheetPr codeName="Лист1">
    <tabColor rgb="FF92D050"/>
  </sheetPr>
  <dimension ref="A1:Z87"/>
  <sheetViews>
    <sheetView showWhiteSpace="0" view="pageBreakPreview" topLeftCell="A17" zoomScaleNormal="100" zoomScaleSheetLayoutView="100" workbookViewId="0">
      <selection activeCell="J44" sqref="J44:K44"/>
    </sheetView>
  </sheetViews>
  <sheetFormatPr defaultColWidth="9.140625" defaultRowHeight="15" x14ac:dyDescent="0.25"/>
  <cols>
    <col min="1" max="1" width="11.5703125" customWidth="1"/>
    <col min="2" max="2" width="8.140625" customWidth="1"/>
    <col min="3" max="3" width="9.85546875" customWidth="1"/>
    <col min="4" max="4" width="8.28515625" customWidth="1"/>
    <col min="5" max="7" width="9.85546875" customWidth="1"/>
    <col min="8" max="8" width="11.140625" customWidth="1"/>
    <col min="9" max="11" width="9.85546875" customWidth="1"/>
    <col min="21" max="26" width="5.7109375" customWidth="1"/>
  </cols>
  <sheetData>
    <row r="1" spans="1:11" ht="10.5" customHeight="1" x14ac:dyDescent="0.25">
      <c r="I1" s="3"/>
      <c r="J1" s="4"/>
      <c r="K1" s="5"/>
    </row>
    <row r="2" spans="1:11" ht="10.5" customHeight="1" x14ac:dyDescent="0.25">
      <c r="I2" s="3"/>
      <c r="J2" s="6"/>
      <c r="K2" s="5"/>
    </row>
    <row r="3" spans="1:11" ht="10.5" customHeight="1" x14ac:dyDescent="0.25">
      <c r="E3" s="8"/>
      <c r="F3" s="7"/>
      <c r="G3" s="8"/>
      <c r="H3" s="8"/>
      <c r="I3" s="8"/>
      <c r="J3" s="8"/>
      <c r="K3" s="9"/>
    </row>
    <row r="4" spans="1:11" ht="10.5" customHeight="1" x14ac:dyDescent="0.25">
      <c r="E4" s="11"/>
      <c r="F4" s="10"/>
      <c r="G4" s="11"/>
      <c r="H4" s="11"/>
      <c r="I4" s="11"/>
      <c r="J4" s="11"/>
      <c r="K4" s="12"/>
    </row>
    <row r="5" spans="1:11" ht="13.5" customHeight="1" x14ac:dyDescent="0.25">
      <c r="A5" s="13"/>
      <c r="B5" s="13"/>
      <c r="C5" s="13"/>
      <c r="D5" s="13"/>
      <c r="E5" s="11"/>
      <c r="F5" s="14"/>
      <c r="G5" s="11"/>
      <c r="H5" s="11"/>
      <c r="I5" s="11"/>
      <c r="J5" s="11"/>
      <c r="K5" s="12"/>
    </row>
    <row r="6" spans="1:11" x14ac:dyDescent="0.25">
      <c r="A6" s="15"/>
      <c r="B6" s="16"/>
      <c r="J6" s="3"/>
      <c r="K6" s="17"/>
    </row>
    <row r="7" spans="1:11" x14ac:dyDescent="0.25">
      <c r="A7" s="18"/>
      <c r="B7" s="16"/>
      <c r="J7" s="19"/>
      <c r="K7" s="17"/>
    </row>
    <row r="8" spans="1:11" ht="14.25" customHeight="1" x14ac:dyDescent="0.25">
      <c r="A8" s="1"/>
      <c r="B8" s="1"/>
      <c r="C8" s="1"/>
      <c r="D8" s="1"/>
      <c r="E8" s="2"/>
      <c r="F8" s="1"/>
      <c r="G8" s="2"/>
      <c r="H8" s="2"/>
      <c r="I8" s="100"/>
      <c r="J8" s="100"/>
      <c r="K8" s="2"/>
    </row>
    <row r="9" spans="1:11" ht="14.25" customHeight="1" x14ac:dyDescent="0.25">
      <c r="A9" s="1"/>
      <c r="B9" s="1"/>
      <c r="C9" s="1"/>
      <c r="D9" s="1"/>
      <c r="E9" s="2"/>
      <c r="F9" s="1"/>
      <c r="G9" s="2"/>
      <c r="H9" s="2"/>
      <c r="I9" s="100"/>
      <c r="J9" s="100"/>
      <c r="K9" s="2"/>
    </row>
    <row r="10" spans="1:11" ht="14.25" customHeight="1" x14ac:dyDescent="0.25">
      <c r="A10" s="101" t="s">
        <v>7</v>
      </c>
      <c r="B10" s="101"/>
      <c r="C10" s="101"/>
      <c r="D10" s="101"/>
      <c r="E10" s="101"/>
      <c r="F10" s="101"/>
      <c r="G10" s="101"/>
      <c r="H10" s="101"/>
      <c r="I10" s="101"/>
      <c r="J10" s="101"/>
      <c r="K10" s="2"/>
    </row>
    <row r="11" spans="1:11" ht="15" customHeight="1" x14ac:dyDescent="0.25">
      <c r="A11" s="102" t="s">
        <v>8</v>
      </c>
      <c r="B11" s="102"/>
      <c r="C11" s="102"/>
      <c r="D11" s="102"/>
      <c r="E11" s="102"/>
      <c r="F11" s="102"/>
      <c r="G11" s="102"/>
      <c r="H11" s="102"/>
      <c r="I11" s="102"/>
      <c r="J11" s="102"/>
    </row>
    <row r="12" spans="1:11" ht="15" customHeight="1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</row>
    <row r="13" spans="1:11" ht="15.75" customHeight="1" x14ac:dyDescent="0.25">
      <c r="A13" s="93" t="s">
        <v>12</v>
      </c>
      <c r="B13" s="93"/>
      <c r="C13" s="93"/>
      <c r="D13" s="103" t="s">
        <v>13</v>
      </c>
      <c r="E13" s="103"/>
      <c r="F13" s="103"/>
      <c r="G13" s="103"/>
      <c r="H13" s="103"/>
      <c r="I13" s="103"/>
      <c r="J13" s="103"/>
      <c r="K13" s="103"/>
    </row>
    <row r="14" spans="1:11" ht="15.75" customHeight="1" x14ac:dyDescent="0.25">
      <c r="A14" s="93" t="s">
        <v>0</v>
      </c>
      <c r="B14" s="93"/>
      <c r="C14" s="93"/>
      <c r="D14" s="98"/>
      <c r="E14" s="98"/>
      <c r="F14" s="98"/>
      <c r="G14" s="98"/>
      <c r="H14" s="98"/>
      <c r="I14" s="98"/>
      <c r="J14" s="98"/>
      <c r="K14" s="98"/>
    </row>
    <row r="15" spans="1:11" ht="15.75" customHeight="1" x14ac:dyDescent="0.25">
      <c r="A15" s="82" t="s">
        <v>26</v>
      </c>
      <c r="B15" s="99"/>
      <c r="C15" s="99"/>
      <c r="D15" s="98"/>
      <c r="E15" s="98"/>
      <c r="F15" s="98"/>
      <c r="G15" s="98"/>
      <c r="H15" s="98"/>
      <c r="I15" s="98"/>
      <c r="J15" s="98"/>
      <c r="K15" s="98"/>
    </row>
    <row r="16" spans="1:11" ht="15.75" customHeight="1" x14ac:dyDescent="0.25">
      <c r="A16" s="82" t="s">
        <v>25</v>
      </c>
      <c r="B16" s="99"/>
      <c r="C16" s="99"/>
      <c r="D16" s="98"/>
      <c r="E16" s="98"/>
      <c r="F16" s="98"/>
      <c r="G16" s="98"/>
      <c r="H16" s="98"/>
      <c r="I16" s="98"/>
      <c r="J16" s="98"/>
      <c r="K16" s="98"/>
    </row>
    <row r="17" spans="1:26" ht="15.75" customHeight="1" x14ac:dyDescent="0.25">
      <c r="A17" s="82" t="s">
        <v>18</v>
      </c>
      <c r="B17" s="82"/>
      <c r="C17" s="82"/>
      <c r="D17" s="26"/>
      <c r="E17" s="26"/>
      <c r="F17" s="26"/>
      <c r="G17" s="26"/>
      <c r="H17" s="26"/>
      <c r="I17" s="26"/>
      <c r="J17" s="26"/>
      <c r="K17" s="26"/>
    </row>
    <row r="18" spans="1:26" ht="15.75" customHeight="1" x14ac:dyDescent="0.25">
      <c r="A18" s="93" t="s">
        <v>24</v>
      </c>
      <c r="B18" s="93"/>
      <c r="C18" s="93"/>
      <c r="D18" s="94" t="s">
        <v>27</v>
      </c>
      <c r="E18" s="94"/>
      <c r="F18" s="94"/>
      <c r="G18" s="94"/>
      <c r="H18" s="94"/>
      <c r="I18" s="94"/>
      <c r="J18" s="94"/>
      <c r="K18" s="94"/>
    </row>
    <row r="19" spans="1:26" ht="15.75" customHeight="1" x14ac:dyDescent="0.25">
      <c r="A19" s="82" t="s">
        <v>11</v>
      </c>
      <c r="B19" s="82"/>
      <c r="C19" s="82"/>
      <c r="D19" s="95" t="s">
        <v>9</v>
      </c>
      <c r="E19" s="95"/>
      <c r="F19" s="95"/>
      <c r="G19" s="95"/>
      <c r="H19" s="95"/>
      <c r="I19" s="95"/>
      <c r="J19" s="95"/>
      <c r="K19" s="95"/>
    </row>
    <row r="20" spans="1:26" ht="15.75" customHeight="1" x14ac:dyDescent="0.25">
      <c r="A20" s="96" t="s">
        <v>14</v>
      </c>
      <c r="B20" s="96"/>
      <c r="C20" s="96"/>
      <c r="D20" s="96"/>
      <c r="E20" s="96"/>
      <c r="F20" s="96"/>
      <c r="G20" s="96"/>
      <c r="H20" s="96"/>
      <c r="I20" s="96"/>
      <c r="J20" s="96"/>
      <c r="K20" s="96"/>
    </row>
    <row r="21" spans="1:26" ht="15.75" customHeight="1" x14ac:dyDescent="0.25">
      <c r="A21" s="93" t="s">
        <v>2</v>
      </c>
      <c r="B21" s="93"/>
      <c r="C21" s="93"/>
      <c r="D21" s="97" t="s">
        <v>10</v>
      </c>
      <c r="E21" s="97"/>
      <c r="F21" s="97"/>
      <c r="G21" s="97"/>
      <c r="H21" s="97"/>
      <c r="I21" s="97"/>
      <c r="J21" s="97"/>
      <c r="K21" s="97"/>
    </row>
    <row r="22" spans="1:26" ht="15" customHeight="1" x14ac:dyDescent="0.25">
      <c r="A22" s="77" t="s">
        <v>31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</row>
    <row r="23" spans="1:26" ht="15" customHeight="1" x14ac:dyDescent="0.25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</row>
    <row r="24" spans="1:26" ht="10.5" customHeight="1" x14ac:dyDescent="0.25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</row>
    <row r="25" spans="1:26" ht="29.25" customHeight="1" x14ac:dyDescent="0.25">
      <c r="A25" s="82" t="s">
        <v>28</v>
      </c>
      <c r="B25" s="82"/>
      <c r="C25" s="82"/>
      <c r="D25" s="77" t="s">
        <v>29</v>
      </c>
      <c r="E25" s="77"/>
      <c r="F25" s="82"/>
      <c r="G25" s="82"/>
      <c r="H25" s="82"/>
      <c r="I25" s="82"/>
      <c r="J25" s="82"/>
      <c r="K25" s="82"/>
    </row>
    <row r="26" spans="1:26" ht="15" customHeight="1" x14ac:dyDescent="0.25">
      <c r="A26" s="82" t="s">
        <v>46</v>
      </c>
      <c r="B26" s="82"/>
      <c r="C26" s="82"/>
      <c r="D26" s="29"/>
      <c r="E26" s="29"/>
      <c r="F26" s="29"/>
      <c r="G26" s="29"/>
      <c r="H26" s="29"/>
      <c r="I26" s="29"/>
      <c r="J26" s="29"/>
      <c r="K26" s="29"/>
    </row>
    <row r="27" spans="1:26" ht="42.75" customHeight="1" x14ac:dyDescent="0.25">
      <c r="A27" s="33" t="s">
        <v>52</v>
      </c>
      <c r="B27" s="89" t="s">
        <v>17</v>
      </c>
      <c r="C27" s="90"/>
      <c r="D27" s="33" t="s">
        <v>15</v>
      </c>
      <c r="E27" s="33" t="s">
        <v>16</v>
      </c>
      <c r="F27" s="33" t="s">
        <v>23</v>
      </c>
      <c r="G27" s="33" t="s">
        <v>19</v>
      </c>
      <c r="H27" s="33" t="s">
        <v>30</v>
      </c>
      <c r="I27" s="89" t="s">
        <v>32</v>
      </c>
      <c r="J27" s="91"/>
      <c r="K27" s="90"/>
      <c r="L27" s="27"/>
      <c r="N27" t="s">
        <v>56</v>
      </c>
    </row>
    <row r="28" spans="1:26" ht="45" customHeight="1" x14ac:dyDescent="0.25">
      <c r="A28" s="41">
        <v>46059</v>
      </c>
      <c r="B28" s="69" t="s">
        <v>21</v>
      </c>
      <c r="C28" s="71"/>
      <c r="D28" s="40" t="s">
        <v>22</v>
      </c>
      <c r="E28" s="40" t="s">
        <v>20</v>
      </c>
      <c r="F28" s="40">
        <v>15</v>
      </c>
      <c r="G28" s="40">
        <v>36</v>
      </c>
      <c r="H28" s="40">
        <v>300</v>
      </c>
      <c r="I28" s="69" t="s">
        <v>33</v>
      </c>
      <c r="J28" s="70"/>
      <c r="K28" s="71"/>
      <c r="L28" s="27"/>
      <c r="N28" s="43">
        <f ca="1">RANDBETWEEN(450,500)/10</f>
        <v>49.9</v>
      </c>
      <c r="O28" s="36"/>
    </row>
    <row r="29" spans="1:26" ht="15.75" customHeight="1" x14ac:dyDescent="0.25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</row>
    <row r="30" spans="1:26" s="45" customFormat="1" ht="15.75" hidden="1" customHeight="1" x14ac:dyDescent="0.25">
      <c r="A30" s="44"/>
      <c r="B30" s="92" t="s">
        <v>53</v>
      </c>
      <c r="C30" s="92"/>
      <c r="D30" s="92"/>
      <c r="E30" s="92"/>
      <c r="F30" s="92"/>
      <c r="G30" s="92"/>
      <c r="H30" s="92"/>
      <c r="I30" s="92"/>
      <c r="J30" s="92"/>
      <c r="K30" s="92"/>
    </row>
    <row r="31" spans="1:26" s="45" customFormat="1" ht="25.5" hidden="1" x14ac:dyDescent="0.25">
      <c r="A31" s="46" t="s">
        <v>54</v>
      </c>
      <c r="B31" s="47" t="s">
        <v>55</v>
      </c>
      <c r="C31" s="47" t="s">
        <v>57</v>
      </c>
      <c r="D31" s="46"/>
      <c r="E31" s="46"/>
      <c r="F31" s="46"/>
      <c r="G31" s="46"/>
      <c r="H31" s="46"/>
      <c r="I31" s="46"/>
      <c r="J31" s="46"/>
      <c r="K31" s="46"/>
    </row>
    <row r="32" spans="1:26" s="45" customFormat="1" ht="15.75" hidden="1" customHeight="1" x14ac:dyDescent="0.25">
      <c r="A32" s="46">
        <v>1</v>
      </c>
      <c r="B32" s="48">
        <f ca="1">RANDBETWEEN(450,500)/10</f>
        <v>46.7</v>
      </c>
      <c r="C32" s="46"/>
      <c r="D32" s="46"/>
      <c r="E32" s="46"/>
      <c r="F32" s="46"/>
      <c r="G32" s="46"/>
      <c r="H32" s="49"/>
      <c r="I32" s="50"/>
      <c r="J32" s="50"/>
      <c r="K32" s="50"/>
      <c r="L32" s="51">
        <v>1</v>
      </c>
      <c r="M32" s="78" t="s">
        <v>40</v>
      </c>
      <c r="N32" s="79"/>
      <c r="O32" s="80"/>
      <c r="T32" s="52" t="s">
        <v>43</v>
      </c>
      <c r="U32" s="52"/>
      <c r="V32" s="52"/>
      <c r="W32" s="52"/>
      <c r="X32" s="52"/>
      <c r="Y32" s="52"/>
      <c r="Z32" s="52"/>
    </row>
    <row r="33" spans="1:26" s="45" customFormat="1" ht="15.75" hidden="1" customHeight="1" x14ac:dyDescent="0.25">
      <c r="A33" s="46">
        <v>2</v>
      </c>
      <c r="B33" s="48">
        <f t="shared" ref="B33:B41" ca="1" si="0">RANDBETWEEN(450,500)/10</f>
        <v>47.2</v>
      </c>
      <c r="C33" s="53"/>
      <c r="D33" s="53"/>
      <c r="E33" s="53"/>
      <c r="F33" s="53"/>
      <c r="G33" s="53"/>
      <c r="H33" s="53"/>
      <c r="I33" s="53"/>
      <c r="J33" s="53"/>
      <c r="K33" s="53"/>
      <c r="L33" s="51">
        <v>2</v>
      </c>
      <c r="M33" s="78" t="s">
        <v>42</v>
      </c>
      <c r="N33" s="79"/>
      <c r="O33" s="80"/>
      <c r="T33" s="52">
        <v>1</v>
      </c>
      <c r="U33" s="52"/>
      <c r="V33" s="52"/>
      <c r="W33" s="52"/>
      <c r="X33" s="52"/>
      <c r="Y33" s="52"/>
      <c r="Z33" s="52"/>
    </row>
    <row r="34" spans="1:26" s="45" customFormat="1" ht="15.75" hidden="1" customHeight="1" x14ac:dyDescent="0.25">
      <c r="A34" s="46">
        <v>3</v>
      </c>
      <c r="B34" s="48">
        <f t="shared" ca="1" si="0"/>
        <v>48.1</v>
      </c>
      <c r="C34" s="53"/>
      <c r="D34" s="53"/>
      <c r="E34" s="53"/>
      <c r="F34" s="53"/>
      <c r="G34" s="53"/>
      <c r="H34" s="53"/>
      <c r="I34" s="53"/>
      <c r="J34" s="53"/>
      <c r="K34" s="53"/>
      <c r="L34" s="51">
        <v>3</v>
      </c>
      <c r="M34" s="78" t="s">
        <v>41</v>
      </c>
      <c r="N34" s="79"/>
      <c r="O34" s="80"/>
      <c r="T34" s="52">
        <v>2</v>
      </c>
      <c r="U34" s="52"/>
      <c r="V34" s="52"/>
      <c r="W34" s="52"/>
      <c r="X34" s="52"/>
      <c r="Y34" s="52"/>
      <c r="Z34" s="52"/>
    </row>
    <row r="35" spans="1:26" s="45" customFormat="1" ht="15.75" hidden="1" customHeight="1" x14ac:dyDescent="0.25">
      <c r="A35" s="46">
        <v>4</v>
      </c>
      <c r="B35" s="48">
        <f t="shared" ca="1" si="0"/>
        <v>48.7</v>
      </c>
      <c r="C35" s="53"/>
      <c r="D35" s="53"/>
      <c r="E35" s="53"/>
      <c r="F35" s="53"/>
      <c r="G35" s="53"/>
      <c r="H35" s="53"/>
      <c r="I35" s="53"/>
      <c r="J35" s="53"/>
      <c r="K35" s="53"/>
      <c r="T35" s="52">
        <v>3</v>
      </c>
      <c r="U35" s="52"/>
      <c r="V35" s="52"/>
      <c r="W35" s="52"/>
      <c r="X35" s="52"/>
      <c r="Y35" s="52"/>
      <c r="Z35" s="52"/>
    </row>
    <row r="36" spans="1:26" s="45" customFormat="1" ht="15.75" hidden="1" customHeight="1" x14ac:dyDescent="0.25">
      <c r="A36" s="46">
        <v>5</v>
      </c>
      <c r="B36" s="48">
        <f t="shared" ca="1" si="0"/>
        <v>45.1</v>
      </c>
      <c r="C36" s="53"/>
      <c r="D36" s="53"/>
      <c r="E36" s="53"/>
      <c r="F36" s="53"/>
      <c r="G36" s="53"/>
      <c r="H36" s="53"/>
      <c r="I36" s="53"/>
      <c r="J36" s="53"/>
      <c r="K36" s="53"/>
      <c r="T36" s="52">
        <v>4</v>
      </c>
      <c r="U36" s="52"/>
      <c r="V36" s="52"/>
      <c r="W36" s="52"/>
      <c r="X36" s="52"/>
      <c r="Y36" s="52"/>
      <c r="Z36" s="52"/>
    </row>
    <row r="37" spans="1:26" s="45" customFormat="1" ht="15.75" hidden="1" customHeight="1" x14ac:dyDescent="0.25">
      <c r="A37" s="46">
        <v>6</v>
      </c>
      <c r="B37" s="48">
        <f t="shared" ca="1" si="0"/>
        <v>49.1</v>
      </c>
      <c r="C37" s="53"/>
      <c r="D37" s="53"/>
      <c r="E37" s="53"/>
      <c r="F37" s="53"/>
      <c r="G37" s="53"/>
      <c r="H37" s="53"/>
      <c r="I37" s="53"/>
      <c r="J37" s="53"/>
      <c r="K37" s="53"/>
      <c r="L37" s="51">
        <v>1</v>
      </c>
      <c r="M37" s="78" t="s">
        <v>40</v>
      </c>
      <c r="N37" s="79"/>
      <c r="O37" s="80"/>
      <c r="T37" s="52">
        <v>5</v>
      </c>
      <c r="U37" s="52"/>
      <c r="V37" s="52"/>
      <c r="W37" s="52"/>
      <c r="X37" s="52"/>
      <c r="Y37" s="52"/>
      <c r="Z37" s="52"/>
    </row>
    <row r="38" spans="1:26" s="45" customFormat="1" ht="15.75" hidden="1" customHeight="1" x14ac:dyDescent="0.25">
      <c r="A38" s="46">
        <v>7</v>
      </c>
      <c r="B38" s="48">
        <f t="shared" ca="1" si="0"/>
        <v>48.1</v>
      </c>
      <c r="C38" s="53"/>
      <c r="D38" s="53"/>
      <c r="E38" s="53"/>
      <c r="F38" s="53"/>
      <c r="G38" s="53"/>
      <c r="H38" s="53"/>
      <c r="I38" s="53"/>
      <c r="J38" s="53"/>
      <c r="K38" s="53"/>
      <c r="L38" s="51">
        <v>2</v>
      </c>
      <c r="M38" s="78" t="s">
        <v>42</v>
      </c>
      <c r="N38" s="79"/>
      <c r="O38" s="80"/>
      <c r="T38" s="52">
        <v>6</v>
      </c>
      <c r="U38" s="52"/>
      <c r="V38" s="52"/>
      <c r="W38" s="52"/>
      <c r="X38" s="52"/>
      <c r="Y38" s="52"/>
      <c r="Z38" s="52"/>
    </row>
    <row r="39" spans="1:26" s="45" customFormat="1" ht="15.75" hidden="1" customHeight="1" x14ac:dyDescent="0.25">
      <c r="A39" s="46">
        <v>8</v>
      </c>
      <c r="B39" s="48">
        <f t="shared" ca="1" si="0"/>
        <v>47.6</v>
      </c>
      <c r="C39" s="53"/>
      <c r="D39" s="53"/>
      <c r="E39" s="53"/>
      <c r="F39" s="53"/>
      <c r="G39" s="53"/>
      <c r="H39" s="53"/>
      <c r="I39" s="53"/>
      <c r="J39" s="53"/>
      <c r="K39" s="53"/>
      <c r="L39" s="51">
        <v>3</v>
      </c>
      <c r="M39" s="78" t="s">
        <v>41</v>
      </c>
      <c r="N39" s="79"/>
      <c r="O39" s="80"/>
      <c r="T39" s="52">
        <v>7</v>
      </c>
      <c r="U39" s="52"/>
      <c r="V39" s="52"/>
      <c r="W39" s="52"/>
      <c r="X39" s="52"/>
      <c r="Y39" s="52"/>
      <c r="Z39" s="52"/>
    </row>
    <row r="40" spans="1:26" s="45" customFormat="1" ht="15.75" hidden="1" customHeight="1" x14ac:dyDescent="0.25">
      <c r="A40" s="46">
        <v>9</v>
      </c>
      <c r="B40" s="48">
        <f t="shared" ca="1" si="0"/>
        <v>49.9</v>
      </c>
      <c r="C40" s="53"/>
      <c r="D40" s="53"/>
      <c r="E40" s="53"/>
      <c r="F40" s="53"/>
      <c r="G40" s="53"/>
      <c r="H40" s="53"/>
      <c r="I40" s="53"/>
      <c r="J40" s="53"/>
      <c r="K40" s="53"/>
      <c r="T40" s="52">
        <v>8</v>
      </c>
      <c r="U40" s="52"/>
      <c r="V40" s="52"/>
      <c r="W40" s="52"/>
      <c r="X40" s="52"/>
      <c r="Y40" s="52"/>
      <c r="Z40" s="52"/>
    </row>
    <row r="41" spans="1:26" s="45" customFormat="1" ht="15.75" hidden="1" customHeight="1" x14ac:dyDescent="0.25">
      <c r="A41" s="46">
        <v>10</v>
      </c>
      <c r="B41" s="48">
        <f t="shared" ca="1" si="0"/>
        <v>48.5</v>
      </c>
      <c r="C41" s="53"/>
      <c r="D41" s="53"/>
      <c r="E41" s="53"/>
      <c r="F41" s="53"/>
      <c r="G41" s="53"/>
      <c r="H41" s="53"/>
      <c r="I41" s="53"/>
      <c r="J41" s="53"/>
      <c r="K41" s="53"/>
      <c r="T41" s="52">
        <v>9</v>
      </c>
      <c r="U41" s="52"/>
      <c r="V41" s="52"/>
      <c r="W41" s="52"/>
      <c r="X41" s="52"/>
      <c r="Y41" s="52"/>
      <c r="Z41" s="52"/>
    </row>
    <row r="42" spans="1:26" s="45" customFormat="1" ht="15.75" hidden="1" customHeight="1" x14ac:dyDescent="0.25">
      <c r="A42" s="54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1">
        <v>1</v>
      </c>
      <c r="M42" s="78" t="s">
        <v>40</v>
      </c>
      <c r="N42" s="79"/>
      <c r="O42" s="80"/>
      <c r="T42" s="52">
        <v>10</v>
      </c>
      <c r="U42" s="52"/>
      <c r="V42" s="52"/>
      <c r="W42" s="52"/>
      <c r="X42" s="52"/>
      <c r="Y42" s="52"/>
      <c r="Z42" s="52"/>
    </row>
    <row r="43" spans="1:26" ht="15.75" customHeight="1" x14ac:dyDescent="0.25">
      <c r="A43" s="81" t="s">
        <v>47</v>
      </c>
      <c r="B43" s="81"/>
      <c r="C43" s="82"/>
      <c r="D43" s="82"/>
      <c r="E43" s="82"/>
      <c r="F43" s="82"/>
      <c r="G43" s="82"/>
      <c r="H43" s="82"/>
      <c r="I43" s="82"/>
      <c r="J43" s="82"/>
      <c r="K43" s="82"/>
      <c r="T43" s="36">
        <v>15</v>
      </c>
      <c r="U43" s="36"/>
      <c r="V43" s="36"/>
      <c r="W43" s="36"/>
      <c r="X43" s="36"/>
      <c r="Y43" s="36"/>
      <c r="Z43" s="36"/>
    </row>
    <row r="44" spans="1:26" ht="52.5" customHeight="1" x14ac:dyDescent="0.25">
      <c r="A44" s="83" t="s">
        <v>34</v>
      </c>
      <c r="B44" s="83"/>
      <c r="C44" s="84" t="s">
        <v>35</v>
      </c>
      <c r="D44" s="85"/>
      <c r="E44" s="39" t="s">
        <v>48</v>
      </c>
      <c r="F44" s="39" t="s">
        <v>51</v>
      </c>
      <c r="G44" s="39" t="s">
        <v>50</v>
      </c>
      <c r="H44" s="39" t="s">
        <v>49</v>
      </c>
      <c r="I44" s="39" t="s">
        <v>44</v>
      </c>
      <c r="J44" s="83" t="s">
        <v>45</v>
      </c>
      <c r="K44" s="83"/>
      <c r="T44" s="36"/>
      <c r="U44" s="36"/>
      <c r="V44" s="36"/>
      <c r="W44" s="36"/>
      <c r="X44" s="36"/>
      <c r="Y44" s="36"/>
      <c r="Z44" s="36"/>
    </row>
    <row r="45" spans="1:26" ht="52.5" customHeight="1" x14ac:dyDescent="0.25">
      <c r="A45" s="84">
        <v>1</v>
      </c>
      <c r="B45" s="85"/>
      <c r="C45" s="84">
        <v>2</v>
      </c>
      <c r="D45" s="85"/>
      <c r="E45" s="39">
        <v>3</v>
      </c>
      <c r="F45" s="39">
        <v>4</v>
      </c>
      <c r="G45" s="39">
        <v>5</v>
      </c>
      <c r="H45" s="39">
        <v>6</v>
      </c>
      <c r="I45" s="39">
        <v>7</v>
      </c>
      <c r="J45" s="39"/>
      <c r="K45" s="39"/>
    </row>
    <row r="46" spans="1:26" x14ac:dyDescent="0.25">
      <c r="A46" s="86">
        <f ca="1">AVERAGE(B32:B41)</f>
        <v>47.9</v>
      </c>
      <c r="B46" s="87"/>
      <c r="C46" s="87" t="e">
        <f ca="1">1/A46*SQRT((B32-A46)^2/MAX(A32:A41)-1)</f>
        <v>#NUM!</v>
      </c>
      <c r="D46" s="87"/>
      <c r="E46" s="28"/>
      <c r="F46" s="38"/>
      <c r="G46" s="38"/>
      <c r="H46" s="38"/>
      <c r="I46" s="42"/>
      <c r="J46" s="88"/>
      <c r="K46" s="88"/>
    </row>
    <row r="47" spans="1:26" x14ac:dyDescent="0.25">
      <c r="A47" s="31"/>
      <c r="B47" s="31"/>
      <c r="C47" s="31"/>
      <c r="D47" s="31"/>
      <c r="E47" s="35"/>
      <c r="F47" s="34"/>
      <c r="G47" s="34"/>
      <c r="H47" s="34"/>
      <c r="I47" s="30"/>
      <c r="J47" s="30"/>
      <c r="K47" s="30"/>
    </row>
    <row r="48" spans="1:26" ht="30" customHeight="1" x14ac:dyDescent="0.25">
      <c r="A48" s="31"/>
      <c r="B48" s="31"/>
      <c r="C48" s="31"/>
      <c r="D48" s="31"/>
      <c r="E48" s="37"/>
      <c r="F48" s="34"/>
      <c r="G48" s="34"/>
      <c r="H48" s="34"/>
      <c r="I48" s="30"/>
      <c r="J48" s="30"/>
      <c r="K48" s="30"/>
    </row>
    <row r="49" spans="1:25" x14ac:dyDescent="0.25">
      <c r="A49" s="77" t="s">
        <v>36</v>
      </c>
      <c r="B49" s="77"/>
      <c r="C49" s="77"/>
      <c r="D49" s="77"/>
      <c r="E49" s="35"/>
      <c r="F49" s="34"/>
      <c r="G49" s="34"/>
      <c r="H49" s="34"/>
      <c r="I49" s="30"/>
      <c r="J49" s="30"/>
      <c r="K49" s="30"/>
    </row>
    <row r="50" spans="1:25" ht="15.75" customHeight="1" x14ac:dyDescent="0.25">
      <c r="A50" s="77" t="s">
        <v>37</v>
      </c>
      <c r="B50" s="77"/>
      <c r="C50" s="77"/>
      <c r="D50" s="77"/>
      <c r="E50" s="35"/>
      <c r="F50" s="34"/>
      <c r="G50" s="34"/>
      <c r="H50" s="34"/>
      <c r="I50" s="30"/>
      <c r="J50" s="30"/>
      <c r="K50" s="30"/>
    </row>
    <row r="51" spans="1:25" ht="31.5" customHeight="1" x14ac:dyDescent="0.25">
      <c r="A51" s="77" t="s">
        <v>38</v>
      </c>
      <c r="B51" s="77"/>
      <c r="C51" s="77"/>
      <c r="D51" s="77"/>
      <c r="E51" s="35"/>
      <c r="F51" s="34"/>
      <c r="G51" s="34"/>
      <c r="H51" s="34"/>
      <c r="I51" s="30"/>
      <c r="J51" s="30"/>
      <c r="K51" s="30"/>
    </row>
    <row r="52" spans="1:25" ht="29.25" customHeight="1" x14ac:dyDescent="0.25">
      <c r="A52" s="77" t="s">
        <v>39</v>
      </c>
      <c r="B52" s="77"/>
      <c r="C52" s="77"/>
      <c r="D52" s="77"/>
      <c r="E52" s="35"/>
      <c r="F52" s="34"/>
      <c r="G52" s="34"/>
      <c r="H52" s="34"/>
      <c r="I52" s="30"/>
      <c r="J52" s="30"/>
      <c r="K52" s="30"/>
    </row>
    <row r="53" spans="1:25" ht="15.75" customHeight="1" x14ac:dyDescent="0.25">
      <c r="A53" s="75" t="s">
        <v>6</v>
      </c>
      <c r="B53" s="75"/>
      <c r="C53" s="75"/>
      <c r="D53" s="75"/>
      <c r="E53" s="75"/>
      <c r="F53" s="75"/>
      <c r="G53" s="76" t="s">
        <v>5</v>
      </c>
      <c r="H53" s="76"/>
      <c r="I53" s="76"/>
      <c r="J53" s="76"/>
      <c r="K53" s="20"/>
    </row>
    <row r="54" spans="1:25" ht="15.75" customHeight="1" x14ac:dyDescent="0.25">
      <c r="A54" s="21"/>
      <c r="B54" s="21"/>
      <c r="C54" s="21"/>
      <c r="D54" s="21"/>
      <c r="E54" s="24"/>
      <c r="F54" s="21"/>
      <c r="G54" s="24"/>
      <c r="H54" s="24"/>
      <c r="I54" s="24"/>
      <c r="J54" s="24"/>
      <c r="K54" s="20"/>
    </row>
    <row r="55" spans="1:25" ht="15.75" customHeight="1" x14ac:dyDescent="0.25">
      <c r="A55" s="75" t="s">
        <v>3</v>
      </c>
      <c r="B55" s="75"/>
      <c r="C55" s="75"/>
      <c r="D55" s="75"/>
      <c r="E55" s="75"/>
      <c r="F55" s="75"/>
      <c r="G55" s="75"/>
      <c r="K55" s="20"/>
      <c r="M55" s="32"/>
      <c r="P55" s="32"/>
      <c r="Q55" s="32"/>
      <c r="R55" s="32"/>
      <c r="S55" s="32"/>
      <c r="T55" s="32"/>
      <c r="U55" s="32"/>
      <c r="V55" s="32"/>
      <c r="W55" s="32"/>
      <c r="X55" s="32"/>
      <c r="Y55" s="32"/>
    </row>
    <row r="56" spans="1:25" ht="15.75" customHeight="1" x14ac:dyDescent="0.25">
      <c r="A56" s="21"/>
      <c r="B56" s="23"/>
      <c r="C56" s="23"/>
      <c r="D56" s="23"/>
      <c r="E56" s="24"/>
      <c r="F56" s="23"/>
      <c r="G56" s="24"/>
      <c r="H56" s="24"/>
      <c r="I56" s="24"/>
      <c r="J56" s="24"/>
      <c r="K56" s="20"/>
      <c r="M56" s="32"/>
      <c r="P56" s="32"/>
      <c r="Q56" s="32"/>
      <c r="R56" s="32"/>
      <c r="S56" s="32"/>
      <c r="T56" s="32"/>
      <c r="U56" s="32"/>
      <c r="V56" s="32"/>
      <c r="W56" s="32"/>
      <c r="X56" s="32"/>
      <c r="Y56" s="32"/>
    </row>
    <row r="57" spans="1:25" ht="15.75" customHeight="1" x14ac:dyDescent="0.25">
      <c r="A57" s="75" t="s">
        <v>4</v>
      </c>
      <c r="B57" s="75"/>
      <c r="C57" s="75"/>
      <c r="D57" s="23"/>
      <c r="E57" s="23"/>
      <c r="F57" s="23"/>
      <c r="G57" s="76" t="s">
        <v>5</v>
      </c>
      <c r="H57" s="76"/>
      <c r="I57" s="76"/>
      <c r="J57" s="76"/>
      <c r="K57" s="20"/>
      <c r="M57" s="32"/>
      <c r="P57" s="32"/>
      <c r="Q57" s="32"/>
      <c r="R57" s="32"/>
      <c r="S57" s="32"/>
      <c r="T57" s="32"/>
      <c r="U57" s="32"/>
      <c r="V57" s="32"/>
      <c r="W57" s="32"/>
      <c r="X57" s="32"/>
      <c r="Y57" s="32"/>
    </row>
    <row r="58" spans="1:25" ht="15.75" customHeight="1" x14ac:dyDescent="0.25">
      <c r="A58" s="23"/>
      <c r="B58" s="23"/>
      <c r="C58" s="23"/>
      <c r="D58" s="23"/>
      <c r="F58" s="23"/>
      <c r="G58" s="24"/>
      <c r="M58" s="32"/>
      <c r="P58" s="32"/>
      <c r="Q58" s="32"/>
      <c r="R58" s="32"/>
      <c r="S58" s="32"/>
      <c r="T58" s="32"/>
      <c r="U58" s="32"/>
      <c r="V58" s="32"/>
      <c r="W58" s="32"/>
      <c r="X58" s="32"/>
      <c r="Y58" s="32"/>
    </row>
    <row r="59" spans="1:25" ht="15.75" customHeight="1" x14ac:dyDescent="0.25">
      <c r="A59" s="75" t="s">
        <v>4</v>
      </c>
      <c r="B59" s="75"/>
      <c r="C59" s="75"/>
      <c r="G59" s="76" t="s">
        <v>5</v>
      </c>
      <c r="H59" s="76"/>
      <c r="I59" s="76"/>
      <c r="J59" s="76"/>
      <c r="K59" s="20"/>
      <c r="M59" s="32"/>
      <c r="P59" s="32"/>
      <c r="Q59" s="32"/>
      <c r="R59" s="32"/>
      <c r="S59" s="32"/>
      <c r="T59" s="32"/>
      <c r="U59" s="32"/>
      <c r="V59" s="32"/>
      <c r="W59" s="32"/>
      <c r="X59" s="32"/>
      <c r="Y59" s="32"/>
    </row>
    <row r="60" spans="1:25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0"/>
    </row>
    <row r="61" spans="1:25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</row>
    <row r="62" spans="1:25" ht="14.1" customHeight="1" x14ac:dyDescent="0.25"/>
    <row r="63" spans="1:25" ht="14.1" customHeight="1" x14ac:dyDescent="0.25"/>
    <row r="64" spans="1:25" ht="14.1" customHeight="1" x14ac:dyDescent="0.25"/>
    <row r="65" spans="8:9" ht="14.1" customHeight="1" x14ac:dyDescent="0.25"/>
    <row r="66" spans="8:9" ht="14.1" customHeight="1" x14ac:dyDescent="0.25"/>
    <row r="67" spans="8:9" ht="14.1" customHeight="1" x14ac:dyDescent="0.25"/>
    <row r="68" spans="8:9" ht="14.1" customHeight="1" x14ac:dyDescent="0.25"/>
    <row r="69" spans="8:9" ht="14.1" customHeight="1" x14ac:dyDescent="0.25"/>
    <row r="70" spans="8:9" ht="14.1" customHeight="1" x14ac:dyDescent="0.25"/>
    <row r="71" spans="8:9" ht="14.1" customHeight="1" x14ac:dyDescent="0.25"/>
    <row r="72" spans="8:9" ht="14.1" customHeight="1" x14ac:dyDescent="0.25"/>
    <row r="73" spans="8:9" ht="14.1" customHeight="1" x14ac:dyDescent="0.25"/>
    <row r="74" spans="8:9" ht="14.1" customHeight="1" x14ac:dyDescent="0.25"/>
    <row r="75" spans="8:9" ht="14.1" customHeight="1" x14ac:dyDescent="0.25"/>
    <row r="79" spans="8:9" x14ac:dyDescent="0.25">
      <c r="H79">
        <v>1</v>
      </c>
      <c r="I79">
        <v>10</v>
      </c>
    </row>
    <row r="80" spans="8:9" x14ac:dyDescent="0.25">
      <c r="H80">
        <v>2</v>
      </c>
      <c r="I80">
        <v>25</v>
      </c>
    </row>
    <row r="81" spans="8:9" x14ac:dyDescent="0.25">
      <c r="H81">
        <v>3</v>
      </c>
      <c r="I81">
        <v>29</v>
      </c>
    </row>
    <row r="82" spans="8:9" x14ac:dyDescent="0.25">
      <c r="H82">
        <v>34</v>
      </c>
      <c r="I82">
        <v>30</v>
      </c>
    </row>
    <row r="83" spans="8:9" x14ac:dyDescent="0.25">
      <c r="H83">
        <v>4</v>
      </c>
      <c r="I83">
        <v>30</v>
      </c>
    </row>
    <row r="84" spans="8:9" x14ac:dyDescent="0.25">
      <c r="H84">
        <v>5</v>
      </c>
      <c r="I84">
        <v>31</v>
      </c>
    </row>
    <row r="85" spans="8:9" x14ac:dyDescent="0.25">
      <c r="H85">
        <v>5</v>
      </c>
      <c r="I85">
        <v>31</v>
      </c>
    </row>
    <row r="86" spans="8:9" x14ac:dyDescent="0.25">
      <c r="H86">
        <v>6</v>
      </c>
    </row>
    <row r="87" spans="8:9" x14ac:dyDescent="0.25">
      <c r="H87">
        <v>5</v>
      </c>
    </row>
  </sheetData>
  <mergeCells count="57">
    <mergeCell ref="I8:J8"/>
    <mergeCell ref="I9:J9"/>
    <mergeCell ref="A10:J10"/>
    <mergeCell ref="A11:J11"/>
    <mergeCell ref="A13:C13"/>
    <mergeCell ref="D13:K13"/>
    <mergeCell ref="A14:C14"/>
    <mergeCell ref="D14:K14"/>
    <mergeCell ref="A15:C15"/>
    <mergeCell ref="D15:K15"/>
    <mergeCell ref="A16:C16"/>
    <mergeCell ref="D16:K16"/>
    <mergeCell ref="A26:C26"/>
    <mergeCell ref="A17:C17"/>
    <mergeCell ref="A18:C18"/>
    <mergeCell ref="D18:K18"/>
    <mergeCell ref="A19:C19"/>
    <mergeCell ref="D19:K19"/>
    <mergeCell ref="A20:K20"/>
    <mergeCell ref="A21:C21"/>
    <mergeCell ref="D21:K21"/>
    <mergeCell ref="A22:K24"/>
    <mergeCell ref="A25:C25"/>
    <mergeCell ref="D25:K25"/>
    <mergeCell ref="M39:O39"/>
    <mergeCell ref="B27:C27"/>
    <mergeCell ref="I27:K27"/>
    <mergeCell ref="B28:C28"/>
    <mergeCell ref="I28:K28"/>
    <mergeCell ref="A29:K29"/>
    <mergeCell ref="B30:K30"/>
    <mergeCell ref="M32:O32"/>
    <mergeCell ref="M33:O33"/>
    <mergeCell ref="M34:O34"/>
    <mergeCell ref="M37:O37"/>
    <mergeCell ref="M38:O38"/>
    <mergeCell ref="A51:D51"/>
    <mergeCell ref="M42:O42"/>
    <mergeCell ref="A43:K43"/>
    <mergeCell ref="A44:B44"/>
    <mergeCell ref="C44:D44"/>
    <mergeCell ref="J44:K44"/>
    <mergeCell ref="A45:B45"/>
    <mergeCell ref="C45:D45"/>
    <mergeCell ref="A46:B46"/>
    <mergeCell ref="C46:D46"/>
    <mergeCell ref="J46:K46"/>
    <mergeCell ref="A49:D49"/>
    <mergeCell ref="A50:D50"/>
    <mergeCell ref="A59:C59"/>
    <mergeCell ref="G59:J59"/>
    <mergeCell ref="A52:D52"/>
    <mergeCell ref="A53:F53"/>
    <mergeCell ref="G53:J53"/>
    <mergeCell ref="A55:G55"/>
    <mergeCell ref="A57:C57"/>
    <mergeCell ref="G57:J57"/>
  </mergeCells>
  <printOptions horizontalCentered="1"/>
  <pageMargins left="0" right="0" top="0.39370078740157483" bottom="0.55118110236220474" header="0.31496062992125984" footer="0.31496062992125984"/>
  <pageSetup paperSize="9" scale="95" orientation="portrait" r:id="rId1"/>
  <headerFooter scaleWithDoc="0">
    <oddHeader>&amp;C&amp;G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7405-D0EB-4177-9B45-85517080E178}">
  <sheetPr>
    <tabColor theme="8" tint="0.39997558519241921"/>
  </sheetPr>
  <dimension ref="A1:AP62"/>
  <sheetViews>
    <sheetView tabSelected="1" showWhiteSpace="0" view="pageBreakPreview" topLeftCell="A4" zoomScaleNormal="100" zoomScaleSheetLayoutView="100" workbookViewId="0">
      <selection activeCell="R13" sqref="R13:V13"/>
    </sheetView>
  </sheetViews>
  <sheetFormatPr defaultColWidth="9.140625" defaultRowHeight="15" x14ac:dyDescent="0.25"/>
  <cols>
    <col min="1" max="1" width="4.140625" customWidth="1"/>
    <col min="2" max="25" width="4.7109375" customWidth="1"/>
    <col min="26" max="26" width="3.7109375" customWidth="1"/>
    <col min="36" max="41" width="5.7109375" customWidth="1"/>
  </cols>
  <sheetData>
    <row r="1" spans="1:40" ht="15" customHeight="1" x14ac:dyDescent="0.25">
      <c r="A1" s="73" t="s">
        <v>68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56"/>
      <c r="AA1" s="27"/>
    </row>
    <row r="2" spans="1:40" ht="15" customHeight="1" x14ac:dyDescent="0.2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24"/>
      <c r="AB2" s="32"/>
      <c r="AE2" s="32"/>
      <c r="AF2" s="32"/>
      <c r="AG2" s="32"/>
      <c r="AH2" s="32"/>
      <c r="AI2" s="32"/>
      <c r="AJ2" s="32"/>
      <c r="AK2" s="32"/>
      <c r="AL2" s="32"/>
      <c r="AM2" s="32"/>
      <c r="AN2" s="32"/>
    </row>
    <row r="3" spans="1:40" ht="15" customHeight="1" x14ac:dyDescent="0.25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55"/>
    </row>
    <row r="4" spans="1:40" ht="15" customHeight="1" x14ac:dyDescent="0.25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55"/>
    </row>
    <row r="5" spans="1:40" ht="15" customHeight="1" x14ac:dyDescent="0.25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55"/>
    </row>
    <row r="6" spans="1:40" ht="15" customHeight="1" x14ac:dyDescent="0.25">
      <c r="A6" s="73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55"/>
    </row>
    <row r="7" spans="1:40" ht="15" customHeight="1" x14ac:dyDescent="0.25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55"/>
    </row>
    <row r="8" spans="1:40" ht="15" customHeight="1" x14ac:dyDescent="0.25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5"/>
    </row>
    <row r="9" spans="1:40" x14ac:dyDescent="0.25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74" t="s">
        <v>73</v>
      </c>
      <c r="S9" s="74"/>
      <c r="T9" s="74"/>
      <c r="U9" s="74"/>
      <c r="V9" s="74"/>
      <c r="W9" s="74"/>
      <c r="X9" s="74"/>
      <c r="Y9" s="74"/>
      <c r="Z9" s="74"/>
    </row>
    <row r="10" spans="1:40" x14ac:dyDescent="0.25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123" t="s">
        <v>6</v>
      </c>
      <c r="S10" s="123"/>
      <c r="T10" s="123"/>
      <c r="U10" s="123"/>
      <c r="V10" s="123"/>
      <c r="W10" s="123"/>
      <c r="X10" s="123"/>
      <c r="Y10" s="123"/>
      <c r="Z10" s="123"/>
    </row>
    <row r="11" spans="1:40" x14ac:dyDescent="0.2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124"/>
      <c r="S11" s="124"/>
      <c r="T11" s="124"/>
      <c r="U11" s="124"/>
      <c r="V11" s="124"/>
      <c r="W11" s="125" t="s">
        <v>66</v>
      </c>
      <c r="X11" s="125"/>
      <c r="Y11" s="125"/>
      <c r="Z11" s="125"/>
    </row>
    <row r="12" spans="1:40" x14ac:dyDescent="0.2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126" t="s">
        <v>74</v>
      </c>
      <c r="S12" s="126"/>
      <c r="T12" s="126"/>
      <c r="U12" s="126"/>
      <c r="V12" s="126"/>
      <c r="W12" s="127"/>
      <c r="X12" s="128"/>
      <c r="Y12" s="128"/>
      <c r="Z12" s="123"/>
    </row>
    <row r="13" spans="1:40" x14ac:dyDescent="0.2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129" t="str">
        <f>TEXT($G$24,"[$-FC19]«ДД» ММММ ГГГГ \г.")</f>
        <v>«05» февраля 2026 г.</v>
      </c>
      <c r="S13" s="129"/>
      <c r="T13" s="129"/>
      <c r="U13" s="129"/>
      <c r="V13" s="129"/>
      <c r="W13" s="127"/>
      <c r="X13" s="128"/>
      <c r="Y13" s="128"/>
      <c r="Z13" s="123"/>
    </row>
    <row r="14" spans="1:40" s="133" customFormat="1" ht="15" customHeight="1" x14ac:dyDescent="0.25">
      <c r="A14" s="122" t="str">
        <f ca="1">"Протокол №"&amp;MID(CELL("filename",A1),SEARCH("]",CELL("filename"))+1,255)&amp;".МЗ от "&amp;TEXT($G$24,"ДД.ММ.ГГГГ")&amp;""</f>
        <v>Протокол №Ключ на 40 - 210.МЗ от 05.02.2026</v>
      </c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32"/>
    </row>
    <row r="15" spans="1:40" ht="15" customHeight="1" x14ac:dyDescent="0.25">
      <c r="A15" s="72" t="s">
        <v>87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55"/>
    </row>
    <row r="16" spans="1:40" ht="15.7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55"/>
    </row>
    <row r="17" spans="1:33" ht="15.75" customHeight="1" x14ac:dyDescent="0.25">
      <c r="A17" s="104" t="s">
        <v>0</v>
      </c>
      <c r="B17" s="104"/>
      <c r="C17" s="104"/>
      <c r="D17" s="104"/>
      <c r="E17" s="104"/>
      <c r="F17" s="104"/>
      <c r="G17" s="105" t="s">
        <v>63</v>
      </c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55"/>
    </row>
    <row r="18" spans="1:33" ht="15.75" customHeight="1" x14ac:dyDescent="0.25">
      <c r="A18" s="104" t="s">
        <v>61</v>
      </c>
      <c r="B18" s="104"/>
      <c r="C18" s="104"/>
      <c r="D18" s="104"/>
      <c r="E18" s="104"/>
      <c r="F18" s="104"/>
      <c r="G18" s="105" t="s">
        <v>62</v>
      </c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55"/>
    </row>
    <row r="19" spans="1:33" ht="15.75" customHeight="1" x14ac:dyDescent="0.25">
      <c r="A19" s="104" t="s">
        <v>58</v>
      </c>
      <c r="B19" s="104"/>
      <c r="C19" s="104"/>
      <c r="D19" s="104"/>
      <c r="E19" s="104"/>
      <c r="F19" s="104"/>
      <c r="G19" s="77" t="s">
        <v>64</v>
      </c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55"/>
    </row>
    <row r="20" spans="1:33" ht="15.75" customHeight="1" x14ac:dyDescent="0.25">
      <c r="A20" s="106"/>
      <c r="B20" s="106"/>
      <c r="C20" s="106"/>
      <c r="D20" s="106"/>
      <c r="E20" s="106"/>
      <c r="F20" s="106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55"/>
    </row>
    <row r="21" spans="1:33" ht="15.75" customHeight="1" x14ac:dyDescent="0.25">
      <c r="A21" s="104" t="s">
        <v>59</v>
      </c>
      <c r="B21" s="104"/>
      <c r="C21" s="104"/>
      <c r="D21" s="104"/>
      <c r="E21" s="104"/>
      <c r="F21" s="104"/>
      <c r="G21" s="77" t="s">
        <v>65</v>
      </c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55"/>
    </row>
    <row r="22" spans="1:33" ht="15.75" customHeight="1" x14ac:dyDescent="0.25">
      <c r="A22" s="106"/>
      <c r="B22" s="106"/>
      <c r="C22" s="106"/>
      <c r="D22" s="106"/>
      <c r="E22" s="106"/>
      <c r="F22" s="106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55"/>
    </row>
    <row r="23" spans="1:33" ht="15.75" customHeight="1" x14ac:dyDescent="0.25">
      <c r="A23" s="104" t="s">
        <v>71</v>
      </c>
      <c r="B23" s="104"/>
      <c r="C23" s="104"/>
      <c r="D23" s="104"/>
      <c r="E23" s="104"/>
      <c r="F23" s="104"/>
      <c r="G23" s="105" t="s">
        <v>86</v>
      </c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55"/>
    </row>
    <row r="24" spans="1:33" ht="15.75" customHeight="1" x14ac:dyDescent="0.25">
      <c r="A24" s="104" t="s">
        <v>60</v>
      </c>
      <c r="B24" s="104"/>
      <c r="C24" s="104"/>
      <c r="D24" s="104"/>
      <c r="E24" s="104"/>
      <c r="F24" s="104"/>
      <c r="G24" s="107">
        <v>46058</v>
      </c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55"/>
    </row>
    <row r="25" spans="1:33" ht="15.75" customHeight="1" x14ac:dyDescent="0.25">
      <c r="A25" s="104" t="s">
        <v>69</v>
      </c>
      <c r="B25" s="104"/>
      <c r="C25" s="104"/>
      <c r="D25" s="104"/>
      <c r="E25" s="104"/>
      <c r="F25" s="104"/>
      <c r="G25" s="77" t="s">
        <v>78</v>
      </c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55"/>
    </row>
    <row r="26" spans="1:33" ht="15.75" customHeight="1" x14ac:dyDescent="0.25">
      <c r="A26" s="104" t="s">
        <v>70</v>
      </c>
      <c r="B26" s="104"/>
      <c r="C26" s="104"/>
      <c r="D26" s="104"/>
      <c r="E26" s="104"/>
      <c r="F26" s="104"/>
      <c r="G26" s="77" t="s">
        <v>104</v>
      </c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34"/>
    </row>
    <row r="27" spans="1:33" ht="15.75" customHeight="1" x14ac:dyDescent="0.25">
      <c r="A27" s="106"/>
      <c r="B27" s="106"/>
      <c r="C27" s="106"/>
      <c r="D27" s="106"/>
      <c r="E27" s="106"/>
      <c r="F27" s="106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34"/>
    </row>
    <row r="28" spans="1:33" ht="15.75" customHeight="1" x14ac:dyDescent="0.25">
      <c r="A28" s="106"/>
      <c r="B28" s="106"/>
      <c r="C28" s="106"/>
      <c r="D28" s="106"/>
      <c r="E28" s="106"/>
      <c r="F28" s="106"/>
      <c r="G28" s="108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62">
        <v>9</v>
      </c>
      <c r="AA28" s="62">
        <v>130</v>
      </c>
      <c r="AB28" s="57"/>
      <c r="AC28" s="57"/>
      <c r="AD28" s="57"/>
      <c r="AE28" s="57"/>
      <c r="AF28" s="57"/>
      <c r="AG28" s="57"/>
    </row>
    <row r="29" spans="1:33" ht="15.75" customHeight="1" x14ac:dyDescent="0.25">
      <c r="A29" s="109" t="s">
        <v>80</v>
      </c>
      <c r="B29" s="109"/>
      <c r="C29" s="109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65">
        <f ca="1">RANDBETWEEN($Z$28,$AA$28)</f>
        <v>120</v>
      </c>
      <c r="AA29" s="66"/>
      <c r="AB29" s="66"/>
      <c r="AC29" s="67"/>
    </row>
    <row r="30" spans="1:33" ht="15.75" customHeight="1" x14ac:dyDescent="0.25">
      <c r="A30" s="109"/>
      <c r="B30" s="109"/>
      <c r="C30" s="109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4"/>
    </row>
    <row r="31" spans="1:33" ht="15.75" customHeight="1" x14ac:dyDescent="0.25">
      <c r="A31" s="110" t="s">
        <v>81</v>
      </c>
      <c r="B31" s="110"/>
      <c r="C31" s="110" t="s">
        <v>82</v>
      </c>
      <c r="D31" s="110"/>
      <c r="E31" s="110"/>
      <c r="F31" s="110"/>
      <c r="G31" s="110"/>
      <c r="H31" s="110"/>
      <c r="I31" s="110"/>
      <c r="J31" s="110"/>
      <c r="K31" s="111" t="s">
        <v>85</v>
      </c>
      <c r="L31" s="111"/>
      <c r="M31" s="111"/>
      <c r="N31" s="111"/>
      <c r="O31" s="111" t="s">
        <v>84</v>
      </c>
      <c r="P31" s="111"/>
      <c r="Q31" s="111"/>
      <c r="R31" s="111"/>
      <c r="S31" s="111"/>
      <c r="T31" s="111"/>
      <c r="U31" s="111"/>
      <c r="V31" s="111"/>
      <c r="W31" s="111" t="s">
        <v>83</v>
      </c>
      <c r="X31" s="111"/>
      <c r="Y31" s="111"/>
      <c r="Z31" s="34"/>
    </row>
    <row r="32" spans="1:33" ht="15.75" customHeight="1" x14ac:dyDescent="0.25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34"/>
    </row>
    <row r="33" spans="1:42" ht="15.75" customHeight="1" x14ac:dyDescent="0.25">
      <c r="A33" s="110">
        <v>1</v>
      </c>
      <c r="B33" s="110"/>
      <c r="C33" s="110">
        <v>2</v>
      </c>
      <c r="D33" s="110"/>
      <c r="E33" s="110"/>
      <c r="F33" s="110"/>
      <c r="G33" s="110"/>
      <c r="H33" s="110"/>
      <c r="I33" s="110"/>
      <c r="J33" s="110"/>
      <c r="K33" s="87">
        <v>3</v>
      </c>
      <c r="L33" s="87"/>
      <c r="M33" s="87"/>
      <c r="N33" s="87"/>
      <c r="O33" s="87">
        <v>4</v>
      </c>
      <c r="P33" s="87"/>
      <c r="Q33" s="87"/>
      <c r="R33" s="87"/>
      <c r="S33" s="87"/>
      <c r="T33" s="87"/>
      <c r="U33" s="87"/>
      <c r="V33" s="87"/>
      <c r="W33" s="87">
        <v>5</v>
      </c>
      <c r="X33" s="87"/>
      <c r="Y33" s="87"/>
      <c r="Z33" s="34"/>
    </row>
    <row r="34" spans="1:42" ht="15.75" customHeight="1" x14ac:dyDescent="0.25">
      <c r="A34" s="112">
        <v>1</v>
      </c>
      <c r="B34" s="112"/>
      <c r="C34" s="113" t="s">
        <v>88</v>
      </c>
      <c r="D34" s="112"/>
      <c r="E34" s="112"/>
      <c r="F34" s="112"/>
      <c r="G34" s="112"/>
      <c r="H34" s="112"/>
      <c r="I34" s="112"/>
      <c r="J34" s="112"/>
      <c r="K34" s="114">
        <f t="shared" ref="K34:K45" ca="1" si="0">RANDBETWEEN($Z$28,$AA$28)</f>
        <v>23</v>
      </c>
      <c r="L34" s="115"/>
      <c r="M34" s="115"/>
      <c r="N34" s="116"/>
      <c r="O34" s="87" t="s">
        <v>89</v>
      </c>
      <c r="P34" s="87"/>
      <c r="Q34" s="87"/>
      <c r="R34" s="87"/>
      <c r="S34" s="87"/>
      <c r="T34" s="87"/>
      <c r="U34" s="87"/>
      <c r="V34" s="87"/>
      <c r="W34" s="87" t="s">
        <v>90</v>
      </c>
      <c r="X34" s="87"/>
      <c r="Y34" s="87"/>
      <c r="Z34" s="34"/>
    </row>
    <row r="35" spans="1:42" ht="15.75" customHeight="1" x14ac:dyDescent="0.25">
      <c r="A35" s="112"/>
      <c r="B35" s="112"/>
      <c r="C35" s="113"/>
      <c r="D35" s="112"/>
      <c r="E35" s="112"/>
      <c r="F35" s="112"/>
      <c r="G35" s="112"/>
      <c r="H35" s="112"/>
      <c r="I35" s="112"/>
      <c r="J35" s="112"/>
      <c r="K35" s="114">
        <f t="shared" ca="1" si="0"/>
        <v>126</v>
      </c>
      <c r="L35" s="115"/>
      <c r="M35" s="115"/>
      <c r="N35" s="116"/>
      <c r="O35" s="114" t="s">
        <v>89</v>
      </c>
      <c r="P35" s="115"/>
      <c r="Q35" s="115"/>
      <c r="R35" s="115"/>
      <c r="S35" s="115"/>
      <c r="T35" s="115"/>
      <c r="U35" s="115"/>
      <c r="V35" s="116"/>
      <c r="W35" s="87" t="s">
        <v>91</v>
      </c>
      <c r="X35" s="87"/>
      <c r="Y35" s="87"/>
      <c r="Z35" s="34"/>
    </row>
    <row r="36" spans="1:42" ht="15.75" customHeight="1" x14ac:dyDescent="0.25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4">
        <f t="shared" ca="1" si="0"/>
        <v>116</v>
      </c>
      <c r="L36" s="115"/>
      <c r="M36" s="115"/>
      <c r="N36" s="116"/>
      <c r="O36" s="114" t="s">
        <v>89</v>
      </c>
      <c r="P36" s="115"/>
      <c r="Q36" s="115"/>
      <c r="R36" s="115"/>
      <c r="S36" s="115"/>
      <c r="T36" s="115"/>
      <c r="U36" s="115"/>
      <c r="V36" s="116"/>
      <c r="W36" s="87" t="s">
        <v>92</v>
      </c>
      <c r="X36" s="87"/>
      <c r="Y36" s="87"/>
      <c r="Z36" s="34"/>
    </row>
    <row r="37" spans="1:42" ht="15.75" customHeight="1" x14ac:dyDescent="0.25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4">
        <f t="shared" ca="1" si="0"/>
        <v>120</v>
      </c>
      <c r="L37" s="115"/>
      <c r="M37" s="115"/>
      <c r="N37" s="116"/>
      <c r="O37" s="114" t="s">
        <v>89</v>
      </c>
      <c r="P37" s="115"/>
      <c r="Q37" s="115"/>
      <c r="R37" s="115"/>
      <c r="S37" s="115"/>
      <c r="T37" s="115"/>
      <c r="U37" s="115"/>
      <c r="V37" s="116"/>
      <c r="W37" s="87" t="s">
        <v>93</v>
      </c>
      <c r="X37" s="87"/>
      <c r="Y37" s="87"/>
      <c r="Z37" s="34"/>
    </row>
    <row r="38" spans="1:42" ht="15.75" customHeight="1" x14ac:dyDescent="0.25">
      <c r="A38" s="112">
        <v>2</v>
      </c>
      <c r="B38" s="112"/>
      <c r="C38" s="113" t="s">
        <v>88</v>
      </c>
      <c r="D38" s="112"/>
      <c r="E38" s="112"/>
      <c r="F38" s="112"/>
      <c r="G38" s="112"/>
      <c r="H38" s="112"/>
      <c r="I38" s="112"/>
      <c r="J38" s="112"/>
      <c r="K38" s="114">
        <f t="shared" ca="1" si="0"/>
        <v>66</v>
      </c>
      <c r="L38" s="115"/>
      <c r="M38" s="115"/>
      <c r="N38" s="116"/>
      <c r="O38" s="114" t="s">
        <v>89</v>
      </c>
      <c r="P38" s="115"/>
      <c r="Q38" s="115"/>
      <c r="R38" s="115"/>
      <c r="S38" s="115"/>
      <c r="T38" s="115"/>
      <c r="U38" s="115"/>
      <c r="V38" s="116"/>
      <c r="W38" s="87" t="s">
        <v>94</v>
      </c>
      <c r="X38" s="87"/>
      <c r="Y38" s="87"/>
      <c r="Z38" s="34"/>
    </row>
    <row r="39" spans="1:42" ht="15.75" customHeight="1" x14ac:dyDescent="0.25">
      <c r="A39" s="112"/>
      <c r="B39" s="112"/>
      <c r="C39" s="113"/>
      <c r="D39" s="112"/>
      <c r="E39" s="112"/>
      <c r="F39" s="112"/>
      <c r="G39" s="112"/>
      <c r="H39" s="112"/>
      <c r="I39" s="112"/>
      <c r="J39" s="112"/>
      <c r="K39" s="114">
        <f t="shared" ca="1" si="0"/>
        <v>13</v>
      </c>
      <c r="L39" s="115"/>
      <c r="M39" s="115"/>
      <c r="N39" s="116"/>
      <c r="O39" s="114" t="s">
        <v>89</v>
      </c>
      <c r="P39" s="115"/>
      <c r="Q39" s="115"/>
      <c r="R39" s="115"/>
      <c r="S39" s="115"/>
      <c r="T39" s="115"/>
      <c r="U39" s="115"/>
      <c r="V39" s="116"/>
      <c r="W39" s="87" t="s">
        <v>95</v>
      </c>
      <c r="X39" s="87"/>
      <c r="Y39" s="87"/>
      <c r="Z39" s="34"/>
    </row>
    <row r="40" spans="1:42" ht="15.75" customHeight="1" x14ac:dyDescent="0.25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4">
        <f t="shared" ca="1" si="0"/>
        <v>102</v>
      </c>
      <c r="L40" s="115"/>
      <c r="M40" s="115"/>
      <c r="N40" s="116"/>
      <c r="O40" s="114" t="s">
        <v>89</v>
      </c>
      <c r="P40" s="115"/>
      <c r="Q40" s="115"/>
      <c r="R40" s="115"/>
      <c r="S40" s="115"/>
      <c r="T40" s="115"/>
      <c r="U40" s="115"/>
      <c r="V40" s="116"/>
      <c r="W40" s="87" t="s">
        <v>96</v>
      </c>
      <c r="X40" s="87"/>
      <c r="Y40" s="87"/>
      <c r="Z40" s="34"/>
    </row>
    <row r="41" spans="1:42" ht="15.75" customHeight="1" x14ac:dyDescent="0.25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4">
        <f t="shared" ca="1" si="0"/>
        <v>58</v>
      </c>
      <c r="L41" s="115"/>
      <c r="M41" s="115"/>
      <c r="N41" s="116"/>
      <c r="O41" s="114" t="s">
        <v>89</v>
      </c>
      <c r="P41" s="115"/>
      <c r="Q41" s="115"/>
      <c r="R41" s="115"/>
      <c r="S41" s="115"/>
      <c r="T41" s="115"/>
      <c r="U41" s="115"/>
      <c r="V41" s="116"/>
      <c r="W41" s="87" t="s">
        <v>97</v>
      </c>
      <c r="X41" s="87"/>
      <c r="Y41" s="87"/>
      <c r="Z41" s="34"/>
    </row>
    <row r="42" spans="1:42" ht="15.75" customHeight="1" x14ac:dyDescent="0.25">
      <c r="A42" s="112">
        <v>3</v>
      </c>
      <c r="B42" s="112"/>
      <c r="C42" s="113" t="s">
        <v>88</v>
      </c>
      <c r="D42" s="112"/>
      <c r="E42" s="112"/>
      <c r="F42" s="112"/>
      <c r="G42" s="112"/>
      <c r="H42" s="112"/>
      <c r="I42" s="112"/>
      <c r="J42" s="112"/>
      <c r="K42" s="114">
        <f t="shared" ca="1" si="0"/>
        <v>113</v>
      </c>
      <c r="L42" s="115"/>
      <c r="M42" s="115"/>
      <c r="N42" s="116"/>
      <c r="O42" s="114" t="s">
        <v>89</v>
      </c>
      <c r="P42" s="115"/>
      <c r="Q42" s="115"/>
      <c r="R42" s="115"/>
      <c r="S42" s="115"/>
      <c r="T42" s="115"/>
      <c r="U42" s="115"/>
      <c r="V42" s="116"/>
      <c r="W42" s="87" t="s">
        <v>98</v>
      </c>
      <c r="X42" s="87"/>
      <c r="Y42" s="87"/>
      <c r="Z42" s="34"/>
    </row>
    <row r="43" spans="1:42" ht="15.75" customHeight="1" x14ac:dyDescent="0.25">
      <c r="A43" s="112"/>
      <c r="B43" s="112"/>
      <c r="C43" s="113"/>
      <c r="D43" s="112"/>
      <c r="E43" s="112"/>
      <c r="F43" s="112"/>
      <c r="G43" s="112"/>
      <c r="H43" s="112"/>
      <c r="I43" s="112"/>
      <c r="J43" s="112"/>
      <c r="K43" s="114">
        <f t="shared" ca="1" si="0"/>
        <v>18</v>
      </c>
      <c r="L43" s="115"/>
      <c r="M43" s="115"/>
      <c r="N43" s="116"/>
      <c r="O43" s="114" t="s">
        <v>89</v>
      </c>
      <c r="P43" s="115"/>
      <c r="Q43" s="115"/>
      <c r="R43" s="115"/>
      <c r="S43" s="115"/>
      <c r="T43" s="115"/>
      <c r="U43" s="115"/>
      <c r="V43" s="116"/>
      <c r="W43" s="87" t="s">
        <v>99</v>
      </c>
      <c r="X43" s="87"/>
      <c r="Y43" s="87"/>
      <c r="Z43" s="34"/>
    </row>
    <row r="44" spans="1:42" ht="15.75" customHeight="1" x14ac:dyDescent="0.25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4">
        <f t="shared" ca="1" si="0"/>
        <v>41</v>
      </c>
      <c r="L44" s="115"/>
      <c r="M44" s="115"/>
      <c r="N44" s="116"/>
      <c r="O44" s="114" t="s">
        <v>89</v>
      </c>
      <c r="P44" s="115"/>
      <c r="Q44" s="115"/>
      <c r="R44" s="115"/>
      <c r="S44" s="115"/>
      <c r="T44" s="115"/>
      <c r="U44" s="115"/>
      <c r="V44" s="116"/>
      <c r="W44" s="87" t="s">
        <v>100</v>
      </c>
      <c r="X44" s="87"/>
      <c r="Y44" s="87"/>
      <c r="Z44" s="34"/>
    </row>
    <row r="45" spans="1:42" ht="15.75" customHeight="1" x14ac:dyDescent="0.25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4">
        <f t="shared" ca="1" si="0"/>
        <v>16</v>
      </c>
      <c r="L45" s="115"/>
      <c r="M45" s="115"/>
      <c r="N45" s="116"/>
      <c r="O45" s="114" t="s">
        <v>89</v>
      </c>
      <c r="P45" s="115"/>
      <c r="Q45" s="115"/>
      <c r="R45" s="115"/>
      <c r="S45" s="115"/>
      <c r="T45" s="115"/>
      <c r="U45" s="115"/>
      <c r="V45" s="116"/>
      <c r="W45" s="87" t="s">
        <v>101</v>
      </c>
      <c r="X45" s="87"/>
      <c r="Y45" s="87"/>
      <c r="Z45" s="34"/>
    </row>
    <row r="46" spans="1:42" ht="15.75" customHeight="1" x14ac:dyDescent="0.25">
      <c r="A46" s="109"/>
      <c r="B46" s="109"/>
      <c r="C46" s="109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4"/>
    </row>
    <row r="47" spans="1:42" ht="15.75" customHeight="1" x14ac:dyDescent="0.25">
      <c r="A47" s="117" t="s">
        <v>72</v>
      </c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68"/>
      <c r="AA47" s="68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</row>
    <row r="48" spans="1:42" ht="15.75" customHeight="1" x14ac:dyDescent="0.25">
      <c r="A48" s="77" t="str">
        <f ca="1">"Момент закручивания в контролируемых болтовых соединениях составляет "&amp;ROUND(MIN(K34:N45),1)&amp;" - "&amp;ROUND(MAX(K34:N45),1)&amp;" Н·м."</f>
        <v>Момент закручивания в контролируемых болтовых соединениях составляет 13 - 126 Н·м.</v>
      </c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64"/>
      <c r="AA48" s="64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</row>
    <row r="49" spans="1:40" ht="15.75" customHeight="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24"/>
      <c r="AE49" s="32"/>
      <c r="AF49" s="32"/>
      <c r="AG49" s="32"/>
      <c r="AH49" s="32"/>
      <c r="AI49" s="32"/>
      <c r="AJ49" s="32"/>
      <c r="AK49" s="32"/>
      <c r="AL49" s="32"/>
      <c r="AM49" s="32"/>
      <c r="AN49" s="32"/>
    </row>
    <row r="50" spans="1:40" ht="15.75" customHeight="1" x14ac:dyDescent="0.25">
      <c r="A50" s="119"/>
      <c r="B50" s="21"/>
      <c r="C50" s="119"/>
      <c r="D50" s="119"/>
      <c r="E50" s="119"/>
      <c r="F50" s="119"/>
      <c r="G50" s="119"/>
      <c r="H50" s="119"/>
      <c r="I50" s="119"/>
      <c r="J50" s="119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B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</row>
    <row r="51" spans="1:40" ht="15.75" customHeight="1" x14ac:dyDescent="0.25">
      <c r="A51" s="23" t="s">
        <v>75</v>
      </c>
      <c r="B51" s="21"/>
      <c r="C51" s="119"/>
      <c r="D51" s="119"/>
      <c r="E51" s="119"/>
      <c r="F51" s="119"/>
      <c r="G51" s="119"/>
      <c r="H51" s="119"/>
      <c r="I51" s="119"/>
      <c r="J51" s="119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B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</row>
    <row r="52" spans="1:40" ht="15.75" customHeight="1" x14ac:dyDescent="0.25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24"/>
      <c r="AB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</row>
    <row r="53" spans="1:40" ht="15.75" customHeight="1" x14ac:dyDescent="0.25">
      <c r="A53" s="23" t="s">
        <v>4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119"/>
      <c r="Z53" s="24"/>
      <c r="AB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</row>
    <row r="54" spans="1:40" ht="15.75" customHeight="1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119"/>
      <c r="Z54" s="24"/>
      <c r="AB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</row>
    <row r="55" spans="1:40" ht="15.75" customHeight="1" x14ac:dyDescent="0.25">
      <c r="A55" s="23"/>
      <c r="B55" s="23"/>
      <c r="C55" s="23"/>
      <c r="D55" s="23"/>
      <c r="E55" s="23"/>
      <c r="F55" s="23"/>
      <c r="G55" s="23"/>
      <c r="H55" s="21"/>
      <c r="I55" s="23"/>
      <c r="J55" s="24"/>
      <c r="K55" s="23"/>
      <c r="L55" s="21"/>
      <c r="M55" s="23"/>
      <c r="N55" s="24"/>
      <c r="O55" s="23"/>
      <c r="P55" s="24"/>
      <c r="Q55" s="23"/>
      <c r="R55" s="121"/>
      <c r="S55" s="23"/>
      <c r="T55" s="121" t="s">
        <v>67</v>
      </c>
      <c r="U55" s="23"/>
      <c r="V55" s="21"/>
      <c r="W55" s="23"/>
      <c r="X55" s="24"/>
      <c r="Y55" s="21"/>
      <c r="Z55" s="21"/>
      <c r="AB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</row>
    <row r="56" spans="1:40" ht="15.75" customHeight="1" x14ac:dyDescent="0.25">
      <c r="A56" s="23" t="s">
        <v>4</v>
      </c>
      <c r="B56" s="23"/>
      <c r="C56" s="23"/>
      <c r="D56" s="23"/>
      <c r="E56" s="23"/>
      <c r="F56" s="23"/>
      <c r="G56" s="21"/>
      <c r="H56" s="21"/>
      <c r="I56" s="21"/>
      <c r="J56" s="23"/>
      <c r="K56" s="21"/>
      <c r="L56" s="21"/>
      <c r="M56" s="21"/>
      <c r="N56" s="21"/>
      <c r="O56" s="21"/>
      <c r="P56" s="21"/>
      <c r="Q56" s="21"/>
      <c r="R56" s="121"/>
      <c r="S56" s="21"/>
      <c r="T56" s="121"/>
      <c r="U56" s="21"/>
      <c r="V56" s="21"/>
      <c r="W56" s="21"/>
      <c r="X56" s="21"/>
      <c r="Y56" s="21"/>
      <c r="Z56" s="22"/>
    </row>
    <row r="57" spans="1:40" ht="15.75" customHeight="1" x14ac:dyDescent="0.25">
      <c r="A57" s="23"/>
      <c r="B57" s="23"/>
      <c r="C57" s="23"/>
      <c r="D57" s="23"/>
      <c r="E57" s="23"/>
      <c r="F57" s="23"/>
      <c r="G57" s="21"/>
      <c r="H57" s="21"/>
      <c r="I57" s="21"/>
      <c r="J57" s="23"/>
      <c r="K57" s="21"/>
      <c r="L57" s="21"/>
      <c r="M57" s="21"/>
      <c r="N57" s="21"/>
      <c r="O57" s="21"/>
      <c r="P57" s="21"/>
      <c r="Q57" s="21"/>
      <c r="R57" s="121"/>
      <c r="S57" s="21"/>
      <c r="T57" s="121"/>
      <c r="U57" s="21"/>
      <c r="V57" s="21"/>
      <c r="W57" s="21"/>
      <c r="X57" s="21"/>
      <c r="Y57" s="21"/>
    </row>
    <row r="58" spans="1:40" ht="15.75" customHeight="1" x14ac:dyDescent="0.25">
      <c r="A58" s="23"/>
      <c r="B58" s="23"/>
      <c r="C58" s="23"/>
      <c r="D58" s="23"/>
      <c r="E58" s="23"/>
      <c r="F58" s="23"/>
      <c r="G58" s="21"/>
      <c r="H58" s="21"/>
      <c r="I58" s="21"/>
      <c r="J58" s="23"/>
      <c r="K58" s="21"/>
      <c r="L58" s="21"/>
      <c r="M58" s="21"/>
      <c r="N58" s="21"/>
      <c r="O58" s="21"/>
      <c r="P58" s="21"/>
      <c r="Q58" s="21"/>
      <c r="R58" s="121"/>
      <c r="S58" s="21"/>
      <c r="T58" s="121" t="s">
        <v>67</v>
      </c>
      <c r="U58" s="21"/>
      <c r="V58" s="21"/>
      <c r="W58" s="21"/>
      <c r="X58" s="21"/>
      <c r="Y58" s="21"/>
    </row>
    <row r="59" spans="1:40" ht="15.75" customHeight="1" x14ac:dyDescent="0.25">
      <c r="A59" s="119" t="s">
        <v>1</v>
      </c>
      <c r="B59" s="119"/>
      <c r="C59" s="119"/>
      <c r="D59" s="119" t="s">
        <v>76</v>
      </c>
      <c r="E59" s="119"/>
      <c r="F59" s="119"/>
      <c r="G59" s="119"/>
      <c r="H59" s="119"/>
      <c r="I59" s="119"/>
      <c r="J59" s="119"/>
      <c r="K59" s="21"/>
      <c r="L59" s="21"/>
      <c r="M59" s="21"/>
      <c r="N59" s="21"/>
      <c r="O59" s="21"/>
      <c r="P59" s="21"/>
      <c r="Q59" s="21"/>
      <c r="R59" s="23"/>
      <c r="S59" s="21"/>
      <c r="T59" s="21"/>
      <c r="U59" s="21"/>
      <c r="V59" s="21"/>
      <c r="W59" s="21"/>
      <c r="X59" s="21"/>
      <c r="Y59" s="21"/>
    </row>
    <row r="60" spans="1:40" ht="15.75" customHeight="1" x14ac:dyDescent="0.25">
      <c r="A60" s="119"/>
      <c r="B60" s="119"/>
      <c r="C60" s="119"/>
      <c r="D60" s="119" t="s">
        <v>77</v>
      </c>
      <c r="E60" s="119"/>
      <c r="F60" s="119"/>
      <c r="G60" s="119"/>
      <c r="H60" s="119"/>
      <c r="I60" s="119"/>
      <c r="J60" s="119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</row>
    <row r="61" spans="1:40" ht="14.1" customHeight="1" x14ac:dyDescent="0.25"/>
    <row r="62" spans="1:40" ht="14.1" customHeight="1" x14ac:dyDescent="0.25"/>
  </sheetData>
  <mergeCells count="82">
    <mergeCell ref="Z47:AA47"/>
    <mergeCell ref="Z48:AA48"/>
    <mergeCell ref="A1:Y7"/>
    <mergeCell ref="A14:Y14"/>
    <mergeCell ref="A15:Y15"/>
    <mergeCell ref="A17:F17"/>
    <mergeCell ref="G17:Y17"/>
    <mergeCell ref="R9:Z9"/>
    <mergeCell ref="R11:V11"/>
    <mergeCell ref="W11:Z11"/>
    <mergeCell ref="R12:V12"/>
    <mergeCell ref="R13:V13"/>
    <mergeCell ref="A49:Y49"/>
    <mergeCell ref="G23:Y23"/>
    <mergeCell ref="A24:F24"/>
    <mergeCell ref="G24:Y24"/>
    <mergeCell ref="A25:F25"/>
    <mergeCell ref="G25:Y25"/>
    <mergeCell ref="A23:F23"/>
    <mergeCell ref="A26:F26"/>
    <mergeCell ref="A47:Y47"/>
    <mergeCell ref="A48:Y48"/>
    <mergeCell ref="A18:F18"/>
    <mergeCell ref="G18:Y18"/>
    <mergeCell ref="A19:F19"/>
    <mergeCell ref="G19:Y20"/>
    <mergeCell ref="A21:F21"/>
    <mergeCell ref="G21:Y22"/>
    <mergeCell ref="G26:Y27"/>
    <mergeCell ref="A31:B32"/>
    <mergeCell ref="C31:J32"/>
    <mergeCell ref="W31:Y32"/>
    <mergeCell ref="O31:V32"/>
    <mergeCell ref="K31:N32"/>
    <mergeCell ref="A33:B33"/>
    <mergeCell ref="C33:J33"/>
    <mergeCell ref="K33:N33"/>
    <mergeCell ref="O33:V33"/>
    <mergeCell ref="O42:V42"/>
    <mergeCell ref="O44:V44"/>
    <mergeCell ref="O45:V45"/>
    <mergeCell ref="W42:Y42"/>
    <mergeCell ref="W44:Y44"/>
    <mergeCell ref="W45:Y45"/>
    <mergeCell ref="A42:B45"/>
    <mergeCell ref="C42:J45"/>
    <mergeCell ref="K42:N42"/>
    <mergeCell ref="K44:N44"/>
    <mergeCell ref="K45:N45"/>
    <mergeCell ref="K43:N43"/>
    <mergeCell ref="O43:V43"/>
    <mergeCell ref="W43:Y43"/>
    <mergeCell ref="A34:B37"/>
    <mergeCell ref="C34:J37"/>
    <mergeCell ref="K34:N34"/>
    <mergeCell ref="O34:V34"/>
    <mergeCell ref="W34:Y34"/>
    <mergeCell ref="K35:N35"/>
    <mergeCell ref="O35:V35"/>
    <mergeCell ref="W35:Y35"/>
    <mergeCell ref="K36:N36"/>
    <mergeCell ref="O36:V36"/>
    <mergeCell ref="W36:Y36"/>
    <mergeCell ref="K37:N37"/>
    <mergeCell ref="O37:V37"/>
    <mergeCell ref="W37:Y37"/>
    <mergeCell ref="Z29:AC29"/>
    <mergeCell ref="A38:B41"/>
    <mergeCell ref="C38:J41"/>
    <mergeCell ref="K38:N38"/>
    <mergeCell ref="O38:V38"/>
    <mergeCell ref="W38:Y38"/>
    <mergeCell ref="K39:N39"/>
    <mergeCell ref="O39:V39"/>
    <mergeCell ref="W39:Y39"/>
    <mergeCell ref="K40:N40"/>
    <mergeCell ref="O40:V40"/>
    <mergeCell ref="W40:Y40"/>
    <mergeCell ref="K41:N41"/>
    <mergeCell ref="O41:V41"/>
    <mergeCell ref="W41:Y41"/>
    <mergeCell ref="W33:Y33"/>
  </mergeCells>
  <phoneticPr fontId="25" type="noConversion"/>
  <printOptions horizontalCentered="1"/>
  <pageMargins left="0" right="0" top="0.39370078740157483" bottom="0.55118110236220474" header="0.11811023622047245" footer="0.31496062992125984"/>
  <pageSetup paperSize="9" scale="85" orientation="portrait" r:id="rId1"/>
  <headerFooter differentFirst="1" scaleWithDoc="0">
    <oddHeader>&amp;C&amp;G</oddHeader>
    <oddFooter>&amp;R&amp;8№&amp;A.УК Страница  &amp;P из &amp;N</oddFooter>
    <firstHeader>&amp;C&amp;G</firstHeader>
    <firstFooter>&amp;R&amp;8№&amp;A.УК Страница  &amp;P из &amp;N</first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48CE2-A904-41E8-A75C-A39183D7DFF9}">
  <sheetPr>
    <tabColor theme="8" tint="0.39997558519241921"/>
  </sheetPr>
  <dimension ref="A1:AP62"/>
  <sheetViews>
    <sheetView showWhiteSpace="0" view="pageBreakPreview" zoomScaleNormal="100" zoomScaleSheetLayoutView="100" workbookViewId="0">
      <selection sqref="A1:Y7"/>
    </sheetView>
  </sheetViews>
  <sheetFormatPr defaultColWidth="9.140625" defaultRowHeight="15" x14ac:dyDescent="0.25"/>
  <cols>
    <col min="1" max="1" width="4.140625" customWidth="1"/>
    <col min="2" max="25" width="4.7109375" customWidth="1"/>
    <col min="26" max="26" width="3.7109375" customWidth="1"/>
    <col min="36" max="41" width="5.7109375" customWidth="1"/>
  </cols>
  <sheetData>
    <row r="1" spans="1:40" ht="15" customHeight="1" x14ac:dyDescent="0.25">
      <c r="A1" s="73" t="s">
        <v>68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56"/>
      <c r="AA1" s="27"/>
    </row>
    <row r="2" spans="1:40" ht="15" customHeight="1" x14ac:dyDescent="0.2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24"/>
      <c r="AB2" s="32"/>
      <c r="AE2" s="32"/>
      <c r="AF2" s="32"/>
      <c r="AG2" s="32"/>
      <c r="AH2" s="32"/>
      <c r="AI2" s="32"/>
      <c r="AJ2" s="32"/>
      <c r="AK2" s="32"/>
      <c r="AL2" s="32"/>
      <c r="AM2" s="32"/>
      <c r="AN2" s="32"/>
    </row>
    <row r="3" spans="1:40" ht="15" customHeight="1" x14ac:dyDescent="0.25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55"/>
    </row>
    <row r="4" spans="1:40" ht="15" customHeight="1" x14ac:dyDescent="0.25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55"/>
    </row>
    <row r="5" spans="1:40" ht="15" customHeight="1" x14ac:dyDescent="0.25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55"/>
    </row>
    <row r="6" spans="1:40" ht="15" customHeight="1" x14ac:dyDescent="0.25">
      <c r="A6" s="73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55"/>
    </row>
    <row r="7" spans="1:40" ht="15" customHeight="1" x14ac:dyDescent="0.25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55"/>
    </row>
    <row r="8" spans="1:40" ht="15" customHeight="1" x14ac:dyDescent="0.25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5"/>
    </row>
    <row r="9" spans="1:40" x14ac:dyDescent="0.25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74" t="s">
        <v>73</v>
      </c>
      <c r="S9" s="74"/>
      <c r="T9" s="74"/>
      <c r="U9" s="74"/>
      <c r="V9" s="74"/>
      <c r="W9" s="74"/>
      <c r="X9" s="74"/>
      <c r="Y9" s="74"/>
      <c r="Z9" s="74"/>
    </row>
    <row r="10" spans="1:40" x14ac:dyDescent="0.25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123" t="s">
        <v>6</v>
      </c>
      <c r="S10" s="123"/>
      <c r="T10" s="123"/>
      <c r="U10" s="123"/>
      <c r="V10" s="123"/>
      <c r="W10" s="123"/>
      <c r="X10" s="123"/>
      <c r="Y10" s="123"/>
      <c r="Z10" s="123"/>
    </row>
    <row r="11" spans="1:40" x14ac:dyDescent="0.2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124"/>
      <c r="S11" s="124"/>
      <c r="T11" s="124"/>
      <c r="U11" s="124"/>
      <c r="V11" s="124"/>
      <c r="W11" s="125" t="s">
        <v>66</v>
      </c>
      <c r="X11" s="125"/>
      <c r="Y11" s="125"/>
      <c r="Z11" s="125"/>
    </row>
    <row r="12" spans="1:40" x14ac:dyDescent="0.2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126" t="s">
        <v>74</v>
      </c>
      <c r="S12" s="126"/>
      <c r="T12" s="126"/>
      <c r="U12" s="126"/>
      <c r="V12" s="126"/>
      <c r="W12" s="127"/>
      <c r="X12" s="128"/>
      <c r="Y12" s="128"/>
      <c r="Z12" s="123"/>
    </row>
    <row r="13" spans="1:40" x14ac:dyDescent="0.2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129" t="str">
        <f>TEXT($G$24,"[$-FC19]«ДД» ММММ ГГГГ \г.")</f>
        <v>«05» февраля 2026 г.</v>
      </c>
      <c r="S13" s="129"/>
      <c r="T13" s="129"/>
      <c r="U13" s="129"/>
      <c r="V13" s="129"/>
      <c r="W13" s="127"/>
      <c r="X13" s="128"/>
      <c r="Y13" s="128"/>
      <c r="Z13" s="123"/>
    </row>
    <row r="14" spans="1:40" ht="15.75" customHeight="1" x14ac:dyDescent="0.25">
      <c r="A14" s="122" t="str">
        <f ca="1">"Протокол №"&amp;MID(CELL("filename",A1),SEARCH("]",CELL("filename"))+1,255)&amp;".МЗ от "&amp;TEXT($G$24,"ДД.ММ.ГГГГ")&amp;""</f>
        <v>Протокол №Ключ на 150 - 750.МЗ от 05.02.2026</v>
      </c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55"/>
    </row>
    <row r="15" spans="1:40" ht="15.75" customHeight="1" x14ac:dyDescent="0.25">
      <c r="A15" s="72" t="s">
        <v>87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55"/>
    </row>
    <row r="16" spans="1:40" s="21" customFormat="1" ht="15.75" customHeight="1" x14ac:dyDescent="0.2">
      <c r="Z16" s="55"/>
    </row>
    <row r="17" spans="1:33" s="21" customFormat="1" ht="15.75" customHeight="1" x14ac:dyDescent="0.2">
      <c r="A17" s="104" t="s">
        <v>0</v>
      </c>
      <c r="B17" s="104"/>
      <c r="C17" s="104"/>
      <c r="D17" s="104"/>
      <c r="E17" s="104"/>
      <c r="F17" s="104"/>
      <c r="G17" s="105" t="s">
        <v>63</v>
      </c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55"/>
    </row>
    <row r="18" spans="1:33" s="21" customFormat="1" ht="15.75" customHeight="1" x14ac:dyDescent="0.2">
      <c r="A18" s="104" t="s">
        <v>61</v>
      </c>
      <c r="B18" s="104"/>
      <c r="C18" s="104"/>
      <c r="D18" s="104"/>
      <c r="E18" s="104"/>
      <c r="F18" s="104"/>
      <c r="G18" s="105" t="s">
        <v>62</v>
      </c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55"/>
    </row>
    <row r="19" spans="1:33" s="21" customFormat="1" ht="15.75" customHeight="1" x14ac:dyDescent="0.2">
      <c r="A19" s="104" t="s">
        <v>58</v>
      </c>
      <c r="B19" s="104"/>
      <c r="C19" s="104"/>
      <c r="D19" s="104"/>
      <c r="E19" s="104"/>
      <c r="F19" s="104"/>
      <c r="G19" s="77" t="s">
        <v>64</v>
      </c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55"/>
    </row>
    <row r="20" spans="1:33" s="21" customFormat="1" ht="15.75" customHeight="1" x14ac:dyDescent="0.2">
      <c r="A20" s="106"/>
      <c r="B20" s="106"/>
      <c r="C20" s="106"/>
      <c r="D20" s="106"/>
      <c r="E20" s="106"/>
      <c r="F20" s="106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55"/>
    </row>
    <row r="21" spans="1:33" s="21" customFormat="1" ht="15.75" customHeight="1" x14ac:dyDescent="0.2">
      <c r="A21" s="104" t="s">
        <v>59</v>
      </c>
      <c r="B21" s="104"/>
      <c r="C21" s="104"/>
      <c r="D21" s="104"/>
      <c r="E21" s="104"/>
      <c r="F21" s="104"/>
      <c r="G21" s="77" t="s">
        <v>65</v>
      </c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55"/>
    </row>
    <row r="22" spans="1:33" s="21" customFormat="1" ht="15.75" customHeight="1" x14ac:dyDescent="0.2">
      <c r="A22" s="106"/>
      <c r="B22" s="106"/>
      <c r="C22" s="106"/>
      <c r="D22" s="106"/>
      <c r="E22" s="106"/>
      <c r="F22" s="106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55"/>
    </row>
    <row r="23" spans="1:33" s="21" customFormat="1" ht="15.75" customHeight="1" x14ac:dyDescent="0.2">
      <c r="A23" s="104" t="s">
        <v>71</v>
      </c>
      <c r="B23" s="104"/>
      <c r="C23" s="104"/>
      <c r="D23" s="104"/>
      <c r="E23" s="104"/>
      <c r="F23" s="104"/>
      <c r="G23" s="105" t="s">
        <v>86</v>
      </c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55"/>
    </row>
    <row r="24" spans="1:33" s="21" customFormat="1" ht="15.75" customHeight="1" x14ac:dyDescent="0.2">
      <c r="A24" s="104" t="s">
        <v>60</v>
      </c>
      <c r="B24" s="104"/>
      <c r="C24" s="104"/>
      <c r="D24" s="104"/>
      <c r="E24" s="104"/>
      <c r="F24" s="104"/>
      <c r="G24" s="107">
        <v>46058</v>
      </c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55"/>
    </row>
    <row r="25" spans="1:33" s="21" customFormat="1" ht="15.75" customHeight="1" x14ac:dyDescent="0.2">
      <c r="A25" s="104" t="s">
        <v>69</v>
      </c>
      <c r="B25" s="104"/>
      <c r="C25" s="104"/>
      <c r="D25" s="104"/>
      <c r="E25" s="104"/>
      <c r="F25" s="104"/>
      <c r="G25" s="77" t="s">
        <v>78</v>
      </c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55"/>
    </row>
    <row r="26" spans="1:33" s="21" customFormat="1" ht="15.75" customHeight="1" x14ac:dyDescent="0.2">
      <c r="A26" s="104" t="s">
        <v>70</v>
      </c>
      <c r="B26" s="104"/>
      <c r="C26" s="104"/>
      <c r="D26" s="104"/>
      <c r="E26" s="104"/>
      <c r="F26" s="104"/>
      <c r="G26" s="77" t="s">
        <v>105</v>
      </c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34"/>
    </row>
    <row r="27" spans="1:33" s="21" customFormat="1" ht="15.75" customHeight="1" x14ac:dyDescent="0.2">
      <c r="A27" s="106"/>
      <c r="B27" s="106"/>
      <c r="C27" s="106"/>
      <c r="D27" s="106"/>
      <c r="E27" s="106"/>
      <c r="F27" s="106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34"/>
    </row>
    <row r="28" spans="1:33" s="21" customFormat="1" ht="15.75" customHeight="1" x14ac:dyDescent="0.2">
      <c r="A28" s="106"/>
      <c r="B28" s="106"/>
      <c r="C28" s="106"/>
      <c r="D28" s="106"/>
      <c r="E28" s="106"/>
      <c r="F28" s="106"/>
      <c r="G28" s="108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62">
        <v>90</v>
      </c>
      <c r="AA28" s="62">
        <v>120</v>
      </c>
      <c r="AB28" s="23"/>
      <c r="AC28" s="23"/>
      <c r="AD28" s="23"/>
      <c r="AE28" s="23"/>
      <c r="AF28" s="23"/>
      <c r="AG28" s="23"/>
    </row>
    <row r="29" spans="1:33" s="21" customFormat="1" ht="15.75" customHeight="1" x14ac:dyDescent="0.2">
      <c r="A29" s="109" t="s">
        <v>80</v>
      </c>
      <c r="B29" s="109"/>
      <c r="C29" s="109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114">
        <f ca="1">RANDBETWEEN($Z$28,$AA$28)</f>
        <v>118</v>
      </c>
      <c r="AA29" s="115"/>
      <c r="AB29" s="115"/>
      <c r="AC29" s="116"/>
    </row>
    <row r="30" spans="1:33" s="21" customFormat="1" ht="15.75" customHeight="1" x14ac:dyDescent="0.2">
      <c r="A30" s="109"/>
      <c r="B30" s="109"/>
      <c r="C30" s="109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4"/>
    </row>
    <row r="31" spans="1:33" s="21" customFormat="1" ht="15.75" customHeight="1" x14ac:dyDescent="0.2">
      <c r="A31" s="110" t="s">
        <v>81</v>
      </c>
      <c r="B31" s="110"/>
      <c r="C31" s="110" t="s">
        <v>82</v>
      </c>
      <c r="D31" s="110"/>
      <c r="E31" s="110"/>
      <c r="F31" s="110"/>
      <c r="G31" s="110"/>
      <c r="H31" s="110"/>
      <c r="I31" s="110"/>
      <c r="J31" s="110"/>
      <c r="K31" s="111" t="s">
        <v>85</v>
      </c>
      <c r="L31" s="111"/>
      <c r="M31" s="111"/>
      <c r="N31" s="111"/>
      <c r="O31" s="111" t="s">
        <v>84</v>
      </c>
      <c r="P31" s="111"/>
      <c r="Q31" s="111"/>
      <c r="R31" s="111"/>
      <c r="S31" s="111"/>
      <c r="T31" s="111"/>
      <c r="U31" s="111"/>
      <c r="V31" s="111"/>
      <c r="W31" s="111" t="s">
        <v>83</v>
      </c>
      <c r="X31" s="111"/>
      <c r="Y31" s="111"/>
      <c r="Z31" s="34"/>
    </row>
    <row r="32" spans="1:33" s="21" customFormat="1" ht="15.75" customHeight="1" x14ac:dyDescent="0.2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34"/>
    </row>
    <row r="33" spans="1:42" s="21" customFormat="1" ht="15.75" customHeight="1" x14ac:dyDescent="0.2">
      <c r="A33" s="110">
        <v>1</v>
      </c>
      <c r="B33" s="110"/>
      <c r="C33" s="110">
        <v>2</v>
      </c>
      <c r="D33" s="110"/>
      <c r="E33" s="110"/>
      <c r="F33" s="110"/>
      <c r="G33" s="110"/>
      <c r="H33" s="110"/>
      <c r="I33" s="110"/>
      <c r="J33" s="110"/>
      <c r="K33" s="87">
        <v>3</v>
      </c>
      <c r="L33" s="87"/>
      <c r="M33" s="87"/>
      <c r="N33" s="87"/>
      <c r="O33" s="87">
        <v>4</v>
      </c>
      <c r="P33" s="87"/>
      <c r="Q33" s="87"/>
      <c r="R33" s="87"/>
      <c r="S33" s="87"/>
      <c r="T33" s="87"/>
      <c r="U33" s="87"/>
      <c r="V33" s="87"/>
      <c r="W33" s="87">
        <v>5</v>
      </c>
      <c r="X33" s="87"/>
      <c r="Y33" s="87"/>
      <c r="Z33" s="34"/>
    </row>
    <row r="34" spans="1:42" s="21" customFormat="1" ht="15.75" customHeight="1" x14ac:dyDescent="0.2">
      <c r="A34" s="112">
        <v>1</v>
      </c>
      <c r="B34" s="112"/>
      <c r="C34" s="113" t="s">
        <v>88</v>
      </c>
      <c r="D34" s="112"/>
      <c r="E34" s="112"/>
      <c r="F34" s="112"/>
      <c r="G34" s="112"/>
      <c r="H34" s="112"/>
      <c r="I34" s="112"/>
      <c r="J34" s="112"/>
      <c r="K34" s="114">
        <f t="shared" ref="K34:K45" ca="1" si="0">RANDBETWEEN($Z$28,$AA$28)</f>
        <v>101</v>
      </c>
      <c r="L34" s="115"/>
      <c r="M34" s="115"/>
      <c r="N34" s="116"/>
      <c r="O34" s="87" t="s">
        <v>102</v>
      </c>
      <c r="P34" s="87"/>
      <c r="Q34" s="87"/>
      <c r="R34" s="87"/>
      <c r="S34" s="87"/>
      <c r="T34" s="87"/>
      <c r="U34" s="87"/>
      <c r="V34" s="87"/>
      <c r="W34" s="87" t="s">
        <v>90</v>
      </c>
      <c r="X34" s="87"/>
      <c r="Y34" s="87"/>
      <c r="Z34" s="34"/>
    </row>
    <row r="35" spans="1:42" s="21" customFormat="1" ht="15.75" customHeight="1" x14ac:dyDescent="0.2">
      <c r="A35" s="112"/>
      <c r="B35" s="112"/>
      <c r="C35" s="113"/>
      <c r="D35" s="112"/>
      <c r="E35" s="112"/>
      <c r="F35" s="112"/>
      <c r="G35" s="112"/>
      <c r="H35" s="112"/>
      <c r="I35" s="112"/>
      <c r="J35" s="112"/>
      <c r="K35" s="114">
        <f t="shared" ca="1" si="0"/>
        <v>109</v>
      </c>
      <c r="L35" s="115"/>
      <c r="M35" s="115"/>
      <c r="N35" s="116"/>
      <c r="O35" s="87" t="s">
        <v>102</v>
      </c>
      <c r="P35" s="87"/>
      <c r="Q35" s="87"/>
      <c r="R35" s="87"/>
      <c r="S35" s="87"/>
      <c r="T35" s="87"/>
      <c r="U35" s="87"/>
      <c r="V35" s="87"/>
      <c r="W35" s="87" t="s">
        <v>91</v>
      </c>
      <c r="X35" s="87"/>
      <c r="Y35" s="87"/>
      <c r="Z35" s="34"/>
    </row>
    <row r="36" spans="1:42" s="21" customFormat="1" ht="15.75" customHeight="1" x14ac:dyDescent="0.2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4">
        <f t="shared" ca="1" si="0"/>
        <v>92</v>
      </c>
      <c r="L36" s="115"/>
      <c r="M36" s="115"/>
      <c r="N36" s="116"/>
      <c r="O36" s="87" t="s">
        <v>102</v>
      </c>
      <c r="P36" s="87"/>
      <c r="Q36" s="87"/>
      <c r="R36" s="87"/>
      <c r="S36" s="87"/>
      <c r="T36" s="87"/>
      <c r="U36" s="87"/>
      <c r="V36" s="87"/>
      <c r="W36" s="87" t="s">
        <v>92</v>
      </c>
      <c r="X36" s="87"/>
      <c r="Y36" s="87"/>
      <c r="Z36" s="34"/>
    </row>
    <row r="37" spans="1:42" s="21" customFormat="1" ht="15.75" customHeight="1" x14ac:dyDescent="0.2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4">
        <f t="shared" ca="1" si="0"/>
        <v>101</v>
      </c>
      <c r="L37" s="115"/>
      <c r="M37" s="115"/>
      <c r="N37" s="116"/>
      <c r="O37" s="87" t="s">
        <v>102</v>
      </c>
      <c r="P37" s="87"/>
      <c r="Q37" s="87"/>
      <c r="R37" s="87"/>
      <c r="S37" s="87"/>
      <c r="T37" s="87"/>
      <c r="U37" s="87"/>
      <c r="V37" s="87"/>
      <c r="W37" s="87" t="s">
        <v>93</v>
      </c>
      <c r="X37" s="87"/>
      <c r="Y37" s="87"/>
      <c r="Z37" s="34"/>
    </row>
    <row r="38" spans="1:42" s="21" customFormat="1" ht="15.75" customHeight="1" x14ac:dyDescent="0.2">
      <c r="A38" s="112">
        <v>2</v>
      </c>
      <c r="B38" s="112"/>
      <c r="C38" s="113" t="s">
        <v>88</v>
      </c>
      <c r="D38" s="112"/>
      <c r="E38" s="112"/>
      <c r="F38" s="112"/>
      <c r="G38" s="112"/>
      <c r="H38" s="112"/>
      <c r="I38" s="112"/>
      <c r="J38" s="112"/>
      <c r="K38" s="114">
        <f t="shared" ca="1" si="0"/>
        <v>110</v>
      </c>
      <c r="L38" s="115"/>
      <c r="M38" s="115"/>
      <c r="N38" s="116"/>
      <c r="O38" s="87" t="s">
        <v>102</v>
      </c>
      <c r="P38" s="87"/>
      <c r="Q38" s="87"/>
      <c r="R38" s="87"/>
      <c r="S38" s="87"/>
      <c r="T38" s="87"/>
      <c r="U38" s="87"/>
      <c r="V38" s="87"/>
      <c r="W38" s="87" t="s">
        <v>94</v>
      </c>
      <c r="X38" s="87"/>
      <c r="Y38" s="87"/>
      <c r="Z38" s="34"/>
    </row>
    <row r="39" spans="1:42" s="21" customFormat="1" ht="15.75" customHeight="1" x14ac:dyDescent="0.2">
      <c r="A39" s="112"/>
      <c r="B39" s="112"/>
      <c r="C39" s="113"/>
      <c r="D39" s="112"/>
      <c r="E39" s="112"/>
      <c r="F39" s="112"/>
      <c r="G39" s="112"/>
      <c r="H39" s="112"/>
      <c r="I39" s="112"/>
      <c r="J39" s="112"/>
      <c r="K39" s="114">
        <f t="shared" ca="1" si="0"/>
        <v>114</v>
      </c>
      <c r="L39" s="115"/>
      <c r="M39" s="115"/>
      <c r="N39" s="116"/>
      <c r="O39" s="87" t="s">
        <v>102</v>
      </c>
      <c r="P39" s="87"/>
      <c r="Q39" s="87"/>
      <c r="R39" s="87"/>
      <c r="S39" s="87"/>
      <c r="T39" s="87"/>
      <c r="U39" s="87"/>
      <c r="V39" s="87"/>
      <c r="W39" s="87" t="s">
        <v>95</v>
      </c>
      <c r="X39" s="87"/>
      <c r="Y39" s="87"/>
      <c r="Z39" s="34"/>
    </row>
    <row r="40" spans="1:42" s="21" customFormat="1" ht="15.75" customHeight="1" x14ac:dyDescent="0.2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4">
        <f t="shared" ca="1" si="0"/>
        <v>116</v>
      </c>
      <c r="L40" s="115"/>
      <c r="M40" s="115"/>
      <c r="N40" s="116"/>
      <c r="O40" s="87" t="s">
        <v>102</v>
      </c>
      <c r="P40" s="87"/>
      <c r="Q40" s="87"/>
      <c r="R40" s="87"/>
      <c r="S40" s="87"/>
      <c r="T40" s="87"/>
      <c r="U40" s="87"/>
      <c r="V40" s="87"/>
      <c r="W40" s="87" t="s">
        <v>96</v>
      </c>
      <c r="X40" s="87"/>
      <c r="Y40" s="87"/>
      <c r="Z40" s="34"/>
    </row>
    <row r="41" spans="1:42" s="21" customFormat="1" ht="15.75" customHeight="1" x14ac:dyDescent="0.2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4">
        <f t="shared" ca="1" si="0"/>
        <v>109</v>
      </c>
      <c r="L41" s="115"/>
      <c r="M41" s="115"/>
      <c r="N41" s="116"/>
      <c r="O41" s="87" t="s">
        <v>102</v>
      </c>
      <c r="P41" s="87"/>
      <c r="Q41" s="87"/>
      <c r="R41" s="87"/>
      <c r="S41" s="87"/>
      <c r="T41" s="87"/>
      <c r="U41" s="87"/>
      <c r="V41" s="87"/>
      <c r="W41" s="87" t="s">
        <v>97</v>
      </c>
      <c r="X41" s="87"/>
      <c r="Y41" s="87"/>
      <c r="Z41" s="34"/>
    </row>
    <row r="42" spans="1:42" s="21" customFormat="1" ht="15.75" customHeight="1" x14ac:dyDescent="0.2">
      <c r="A42" s="112">
        <v>3</v>
      </c>
      <c r="B42" s="112"/>
      <c r="C42" s="113" t="s">
        <v>88</v>
      </c>
      <c r="D42" s="112"/>
      <c r="E42" s="112"/>
      <c r="F42" s="112"/>
      <c r="G42" s="112"/>
      <c r="H42" s="112"/>
      <c r="I42" s="112"/>
      <c r="J42" s="112"/>
      <c r="K42" s="114">
        <f t="shared" ca="1" si="0"/>
        <v>92</v>
      </c>
      <c r="L42" s="115"/>
      <c r="M42" s="115"/>
      <c r="N42" s="116"/>
      <c r="O42" s="87" t="s">
        <v>102</v>
      </c>
      <c r="P42" s="87"/>
      <c r="Q42" s="87"/>
      <c r="R42" s="87"/>
      <c r="S42" s="87"/>
      <c r="T42" s="87"/>
      <c r="U42" s="87"/>
      <c r="V42" s="87"/>
      <c r="W42" s="87" t="s">
        <v>98</v>
      </c>
      <c r="X42" s="87"/>
      <c r="Y42" s="87"/>
      <c r="Z42" s="34"/>
    </row>
    <row r="43" spans="1:42" s="21" customFormat="1" ht="15.75" customHeight="1" x14ac:dyDescent="0.2">
      <c r="A43" s="112"/>
      <c r="B43" s="112"/>
      <c r="C43" s="113"/>
      <c r="D43" s="112"/>
      <c r="E43" s="112"/>
      <c r="F43" s="112"/>
      <c r="G43" s="112"/>
      <c r="H43" s="112"/>
      <c r="I43" s="112"/>
      <c r="J43" s="112"/>
      <c r="K43" s="114">
        <f t="shared" ca="1" si="0"/>
        <v>92</v>
      </c>
      <c r="L43" s="115"/>
      <c r="M43" s="115"/>
      <c r="N43" s="116"/>
      <c r="O43" s="87" t="s">
        <v>102</v>
      </c>
      <c r="P43" s="87"/>
      <c r="Q43" s="87"/>
      <c r="R43" s="87"/>
      <c r="S43" s="87"/>
      <c r="T43" s="87"/>
      <c r="U43" s="87"/>
      <c r="V43" s="87"/>
      <c r="W43" s="87" t="s">
        <v>99</v>
      </c>
      <c r="X43" s="87"/>
      <c r="Y43" s="87"/>
      <c r="Z43" s="34"/>
    </row>
    <row r="44" spans="1:42" s="21" customFormat="1" ht="15.75" customHeight="1" x14ac:dyDescent="0.2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4">
        <f t="shared" ca="1" si="0"/>
        <v>99</v>
      </c>
      <c r="L44" s="115"/>
      <c r="M44" s="115"/>
      <c r="N44" s="116"/>
      <c r="O44" s="87" t="s">
        <v>102</v>
      </c>
      <c r="P44" s="87"/>
      <c r="Q44" s="87"/>
      <c r="R44" s="87"/>
      <c r="S44" s="87"/>
      <c r="T44" s="87"/>
      <c r="U44" s="87"/>
      <c r="V44" s="87"/>
      <c r="W44" s="87" t="s">
        <v>100</v>
      </c>
      <c r="X44" s="87"/>
      <c r="Y44" s="87"/>
      <c r="Z44" s="34"/>
    </row>
    <row r="45" spans="1:42" s="21" customFormat="1" ht="15.75" customHeight="1" x14ac:dyDescent="0.2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4">
        <f t="shared" ca="1" si="0"/>
        <v>96</v>
      </c>
      <c r="L45" s="115"/>
      <c r="M45" s="115"/>
      <c r="N45" s="116"/>
      <c r="O45" s="87" t="s">
        <v>102</v>
      </c>
      <c r="P45" s="87"/>
      <c r="Q45" s="87"/>
      <c r="R45" s="87"/>
      <c r="S45" s="87"/>
      <c r="T45" s="87"/>
      <c r="U45" s="87"/>
      <c r="V45" s="87"/>
      <c r="W45" s="87" t="s">
        <v>101</v>
      </c>
      <c r="X45" s="87"/>
      <c r="Y45" s="87"/>
      <c r="Z45" s="34"/>
    </row>
    <row r="46" spans="1:42" s="21" customFormat="1" ht="15.75" customHeight="1" x14ac:dyDescent="0.2">
      <c r="A46" s="109"/>
      <c r="B46" s="109"/>
      <c r="C46" s="109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4"/>
    </row>
    <row r="47" spans="1:42" s="21" customFormat="1" ht="15.75" customHeight="1" x14ac:dyDescent="0.2">
      <c r="A47" s="117" t="s">
        <v>72</v>
      </c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30"/>
      <c r="AA47" s="130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</row>
    <row r="48" spans="1:42" s="21" customFormat="1" ht="15.75" customHeight="1" x14ac:dyDescent="0.2">
      <c r="A48" s="77" t="str">
        <f ca="1">"Момент закручивания в контролируемых болтовых соединениях составляет "&amp;ROUND(MIN(K34:N45),1)&amp;" - "&amp;ROUND(MAX(K34:N45),1)&amp;" Н·м."</f>
        <v>Момент закручивания в контролируемых болтовых соединениях составляет 92 - 116 Н·м.</v>
      </c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31"/>
      <c r="AA48" s="131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</row>
    <row r="49" spans="1:40" s="21" customFormat="1" ht="15.75" customHeight="1" x14ac:dyDescent="0.2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24"/>
      <c r="AE49" s="55"/>
      <c r="AF49" s="55"/>
      <c r="AG49" s="55"/>
      <c r="AH49" s="55"/>
      <c r="AI49" s="55"/>
      <c r="AJ49" s="55"/>
      <c r="AK49" s="55"/>
      <c r="AL49" s="55"/>
      <c r="AM49" s="55"/>
      <c r="AN49" s="55"/>
    </row>
    <row r="50" spans="1:40" s="21" customFormat="1" ht="15.75" customHeight="1" x14ac:dyDescent="0.2">
      <c r="A50" s="119"/>
      <c r="C50" s="119"/>
      <c r="D50" s="119"/>
      <c r="E50" s="119"/>
      <c r="F50" s="119"/>
      <c r="G50" s="119"/>
      <c r="H50" s="119"/>
      <c r="I50" s="119"/>
      <c r="J50" s="119"/>
      <c r="AB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</row>
    <row r="51" spans="1:40" s="21" customFormat="1" ht="15.75" customHeight="1" x14ac:dyDescent="0.2">
      <c r="A51" s="23" t="s">
        <v>75</v>
      </c>
      <c r="C51" s="119"/>
      <c r="D51" s="119"/>
      <c r="E51" s="119"/>
      <c r="F51" s="119"/>
      <c r="G51" s="119"/>
      <c r="H51" s="119"/>
      <c r="I51" s="119"/>
      <c r="J51" s="119"/>
      <c r="AB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</row>
    <row r="52" spans="1:40" s="21" customFormat="1" ht="15.75" customHeight="1" x14ac:dyDescent="0.2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24"/>
      <c r="AB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</row>
    <row r="53" spans="1:40" s="21" customFormat="1" ht="15.75" customHeight="1" x14ac:dyDescent="0.2">
      <c r="A53" s="23" t="s">
        <v>4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Y53" s="119"/>
      <c r="Z53" s="24"/>
      <c r="AB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</row>
    <row r="54" spans="1:40" s="21" customFormat="1" ht="15.75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Y54" s="119"/>
      <c r="Z54" s="24"/>
      <c r="AB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</row>
    <row r="55" spans="1:40" s="21" customFormat="1" ht="15.75" customHeight="1" x14ac:dyDescent="0.2">
      <c r="A55" s="23"/>
      <c r="B55" s="23"/>
      <c r="C55" s="23"/>
      <c r="D55" s="23"/>
      <c r="E55" s="23"/>
      <c r="F55" s="23"/>
      <c r="G55" s="23"/>
      <c r="I55" s="23"/>
      <c r="J55" s="24"/>
      <c r="K55" s="23"/>
      <c r="M55" s="23"/>
      <c r="N55" s="24"/>
      <c r="O55" s="23"/>
      <c r="P55" s="24"/>
      <c r="Q55" s="23"/>
      <c r="R55" s="121"/>
      <c r="S55" s="23"/>
      <c r="T55" s="121" t="s">
        <v>67</v>
      </c>
      <c r="U55" s="23"/>
      <c r="W55" s="23"/>
      <c r="X55" s="24"/>
      <c r="AB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</row>
    <row r="56" spans="1:40" s="21" customFormat="1" ht="15.75" customHeight="1" x14ac:dyDescent="0.2">
      <c r="A56" s="23" t="s">
        <v>4</v>
      </c>
      <c r="B56" s="23"/>
      <c r="C56" s="23"/>
      <c r="D56" s="23"/>
      <c r="E56" s="23"/>
      <c r="F56" s="23"/>
      <c r="J56" s="23"/>
      <c r="R56" s="121"/>
      <c r="T56" s="121"/>
      <c r="Z56" s="119"/>
    </row>
    <row r="57" spans="1:40" s="21" customFormat="1" ht="15.75" customHeight="1" x14ac:dyDescent="0.2">
      <c r="A57" s="23"/>
      <c r="B57" s="23"/>
      <c r="C57" s="23"/>
      <c r="D57" s="23"/>
      <c r="E57" s="23"/>
      <c r="F57" s="23"/>
      <c r="J57" s="23"/>
      <c r="R57" s="121"/>
      <c r="T57" s="121"/>
    </row>
    <row r="58" spans="1:40" s="21" customFormat="1" ht="15.75" customHeight="1" x14ac:dyDescent="0.2">
      <c r="A58" s="23"/>
      <c r="B58" s="23"/>
      <c r="C58" s="23"/>
      <c r="D58" s="23"/>
      <c r="E58" s="23"/>
      <c r="F58" s="23"/>
      <c r="J58" s="23"/>
      <c r="R58" s="121"/>
      <c r="T58" s="121" t="s">
        <v>67</v>
      </c>
    </row>
    <row r="59" spans="1:40" s="21" customFormat="1" ht="15.75" customHeight="1" x14ac:dyDescent="0.2">
      <c r="A59" s="119" t="s">
        <v>1</v>
      </c>
      <c r="B59" s="119"/>
      <c r="C59" s="119"/>
      <c r="D59" s="119" t="s">
        <v>76</v>
      </c>
      <c r="E59" s="119"/>
      <c r="F59" s="119"/>
      <c r="G59" s="119"/>
      <c r="H59" s="119"/>
      <c r="I59" s="119"/>
      <c r="J59" s="119"/>
      <c r="R59" s="23"/>
    </row>
    <row r="60" spans="1:40" s="21" customFormat="1" ht="15.75" customHeight="1" x14ac:dyDescent="0.2">
      <c r="A60" s="119"/>
      <c r="B60" s="119"/>
      <c r="C60" s="119"/>
      <c r="D60" s="119" t="s">
        <v>77</v>
      </c>
      <c r="E60" s="119"/>
      <c r="F60" s="119"/>
      <c r="G60" s="119"/>
      <c r="H60" s="119"/>
      <c r="I60" s="119"/>
      <c r="J60" s="119"/>
    </row>
    <row r="61" spans="1:40" ht="14.1" customHeight="1" x14ac:dyDescent="0.25"/>
    <row r="62" spans="1:40" ht="14.1" customHeight="1" x14ac:dyDescent="0.25"/>
  </sheetData>
  <mergeCells count="82">
    <mergeCell ref="R13:V13"/>
    <mergeCell ref="A1:Y7"/>
    <mergeCell ref="R9:Z9"/>
    <mergeCell ref="R11:V11"/>
    <mergeCell ref="W11:Z11"/>
    <mergeCell ref="R12:V12"/>
    <mergeCell ref="A19:F19"/>
    <mergeCell ref="G19:Y20"/>
    <mergeCell ref="A21:F21"/>
    <mergeCell ref="G21:Y22"/>
    <mergeCell ref="A14:Y14"/>
    <mergeCell ref="A15:Y15"/>
    <mergeCell ref="A17:F17"/>
    <mergeCell ref="G17:Y17"/>
    <mergeCell ref="A18:F18"/>
    <mergeCell ref="G18:Y18"/>
    <mergeCell ref="A23:F23"/>
    <mergeCell ref="G23:Y23"/>
    <mergeCell ref="A24:F24"/>
    <mergeCell ref="G24:Y24"/>
    <mergeCell ref="A25:F25"/>
    <mergeCell ref="G25:Y25"/>
    <mergeCell ref="A26:F26"/>
    <mergeCell ref="G26:Y27"/>
    <mergeCell ref="Z29:AC29"/>
    <mergeCell ref="A31:B32"/>
    <mergeCell ref="C31:J32"/>
    <mergeCell ref="K31:N32"/>
    <mergeCell ref="O31:V32"/>
    <mergeCell ref="W31:Y32"/>
    <mergeCell ref="A33:B33"/>
    <mergeCell ref="C33:J33"/>
    <mergeCell ref="K33:N33"/>
    <mergeCell ref="O33:V33"/>
    <mergeCell ref="W33:Y33"/>
    <mergeCell ref="K35:N35"/>
    <mergeCell ref="O35:V35"/>
    <mergeCell ref="W35:Y35"/>
    <mergeCell ref="K36:N36"/>
    <mergeCell ref="O36:V36"/>
    <mergeCell ref="W36:Y36"/>
    <mergeCell ref="K37:N37"/>
    <mergeCell ref="O37:V37"/>
    <mergeCell ref="W37:Y37"/>
    <mergeCell ref="A38:B41"/>
    <mergeCell ref="C38:J41"/>
    <mergeCell ref="K38:N38"/>
    <mergeCell ref="O38:V38"/>
    <mergeCell ref="W38:Y38"/>
    <mergeCell ref="K39:N39"/>
    <mergeCell ref="O39:V39"/>
    <mergeCell ref="A34:B37"/>
    <mergeCell ref="C34:J37"/>
    <mergeCell ref="K34:N34"/>
    <mergeCell ref="O34:V34"/>
    <mergeCell ref="W34:Y34"/>
    <mergeCell ref="W43:Y43"/>
    <mergeCell ref="K44:N44"/>
    <mergeCell ref="O44:V44"/>
    <mergeCell ref="W39:Y39"/>
    <mergeCell ref="K40:N40"/>
    <mergeCell ref="O40:V40"/>
    <mergeCell ref="W40:Y40"/>
    <mergeCell ref="K41:N41"/>
    <mergeCell ref="O41:V41"/>
    <mergeCell ref="W41:Y41"/>
    <mergeCell ref="A48:Y48"/>
    <mergeCell ref="Z48:AA48"/>
    <mergeCell ref="A49:Y49"/>
    <mergeCell ref="W44:Y44"/>
    <mergeCell ref="K45:N45"/>
    <mergeCell ref="O45:V45"/>
    <mergeCell ref="W45:Y45"/>
    <mergeCell ref="A47:Y47"/>
    <mergeCell ref="Z47:AA47"/>
    <mergeCell ref="A42:B45"/>
    <mergeCell ref="C42:J45"/>
    <mergeCell ref="K42:N42"/>
    <mergeCell ref="O42:V42"/>
    <mergeCell ref="W42:Y42"/>
    <mergeCell ref="K43:N43"/>
    <mergeCell ref="O43:V43"/>
  </mergeCells>
  <printOptions horizontalCentered="1"/>
  <pageMargins left="0" right="0" top="0.39370078740157483" bottom="0.55118110236220474" header="0.11811023622047245" footer="0.31496062992125984"/>
  <pageSetup paperSize="9" scale="85" orientation="portrait" r:id="rId1"/>
  <headerFooter differentFirst="1" scaleWithDoc="0">
    <oddHeader>&amp;C&amp;G</oddHeader>
    <oddFooter>&amp;R&amp;8№&amp;A.УК Страница  &amp;P из &amp;N</oddFooter>
    <firstHeader>&amp;C&amp;G</firstHeader>
    <firstFooter>&amp;R&amp;8№&amp;A.УК Страница  &amp;P из &amp;N</first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AF1D0-3AE8-4B3A-9600-F1D2BD2E08D5}">
  <sheetPr>
    <tabColor theme="8" tint="0.39997558519241921"/>
  </sheetPr>
  <dimension ref="A1:AP62"/>
  <sheetViews>
    <sheetView showWhiteSpace="0" view="pageBreakPreview" topLeftCell="A13" zoomScaleNormal="100" zoomScaleSheetLayoutView="100" workbookViewId="0">
      <selection activeCell="L10" sqref="L10"/>
    </sheetView>
  </sheetViews>
  <sheetFormatPr defaultColWidth="9.140625" defaultRowHeight="15" x14ac:dyDescent="0.25"/>
  <cols>
    <col min="1" max="1" width="4.140625" customWidth="1"/>
    <col min="2" max="25" width="4.7109375" customWidth="1"/>
    <col min="26" max="26" width="9.140625" customWidth="1"/>
    <col min="36" max="41" width="5.7109375" customWidth="1"/>
  </cols>
  <sheetData>
    <row r="1" spans="1:40" ht="15" customHeight="1" x14ac:dyDescent="0.25">
      <c r="A1" s="73" t="s">
        <v>68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59" t="s">
        <v>79</v>
      </c>
      <c r="AA1" s="27"/>
    </row>
    <row r="2" spans="1:40" ht="15" customHeight="1" x14ac:dyDescent="0.2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24"/>
      <c r="AB2" s="32"/>
      <c r="AE2" s="32"/>
      <c r="AF2" s="32"/>
      <c r="AG2" s="32"/>
      <c r="AH2" s="32"/>
      <c r="AI2" s="32"/>
      <c r="AJ2" s="32"/>
      <c r="AK2" s="32"/>
      <c r="AL2" s="32"/>
      <c r="AM2" s="32"/>
      <c r="AN2" s="32"/>
    </row>
    <row r="3" spans="1:40" ht="15" customHeight="1" x14ac:dyDescent="0.25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55"/>
    </row>
    <row r="4" spans="1:40" ht="15" customHeight="1" x14ac:dyDescent="0.25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55"/>
    </row>
    <row r="5" spans="1:40" ht="15" customHeight="1" x14ac:dyDescent="0.25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55"/>
    </row>
    <row r="6" spans="1:40" ht="15" customHeight="1" x14ac:dyDescent="0.25">
      <c r="A6" s="73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55"/>
    </row>
    <row r="7" spans="1:40" ht="15" customHeight="1" x14ac:dyDescent="0.25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55"/>
    </row>
    <row r="8" spans="1:40" ht="15" customHeight="1" x14ac:dyDescent="0.25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5"/>
    </row>
    <row r="9" spans="1:40" x14ac:dyDescent="0.25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74" t="s">
        <v>73</v>
      </c>
      <c r="S9" s="74"/>
      <c r="T9" s="74"/>
      <c r="U9" s="74"/>
      <c r="V9" s="74"/>
      <c r="W9" s="74"/>
      <c r="X9" s="74"/>
      <c r="Y9" s="74"/>
      <c r="Z9" s="74"/>
    </row>
    <row r="10" spans="1:40" x14ac:dyDescent="0.25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123" t="s">
        <v>6</v>
      </c>
      <c r="S10" s="123"/>
      <c r="T10" s="123"/>
      <c r="U10" s="123"/>
      <c r="V10" s="123"/>
      <c r="W10" s="123"/>
      <c r="X10" s="123"/>
      <c r="Y10" s="123"/>
      <c r="Z10" s="123"/>
    </row>
    <row r="11" spans="1:40" x14ac:dyDescent="0.2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124"/>
      <c r="S11" s="124"/>
      <c r="T11" s="124"/>
      <c r="U11" s="124"/>
      <c r="V11" s="124"/>
      <c r="W11" s="125" t="s">
        <v>66</v>
      </c>
      <c r="X11" s="125"/>
      <c r="Y11" s="125"/>
      <c r="Z11" s="125"/>
    </row>
    <row r="12" spans="1:40" x14ac:dyDescent="0.2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126" t="s">
        <v>74</v>
      </c>
      <c r="S12" s="126"/>
      <c r="T12" s="126"/>
      <c r="U12" s="126"/>
      <c r="V12" s="126"/>
      <c r="W12" s="127"/>
      <c r="X12" s="128"/>
      <c r="Y12" s="128"/>
      <c r="Z12" s="123"/>
    </row>
    <row r="13" spans="1:40" x14ac:dyDescent="0.2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129" t="str">
        <f>TEXT($G$24,"[$-FC19]«ДД» ММММ ГГГГ \г.")</f>
        <v>«05» февраля 2026 г.</v>
      </c>
      <c r="S13" s="129"/>
      <c r="T13" s="129"/>
      <c r="U13" s="129"/>
      <c r="V13" s="129"/>
      <c r="W13" s="127"/>
      <c r="X13" s="128"/>
      <c r="Y13" s="128"/>
      <c r="Z13" s="123"/>
    </row>
    <row r="14" spans="1:40" ht="15" customHeight="1" x14ac:dyDescent="0.25">
      <c r="A14" s="122" t="str">
        <f ca="1">"Протокол №"&amp;MID(CELL("filename",A1),SEARCH("]",CELL("filename"))+1,255)&amp;".МЗ от "&amp;TEXT($G$24,"ДД.ММ.ГГГГ")&amp;""</f>
        <v>Протокол №Ключ на 500 - 2300.МЗ от 05.02.2026</v>
      </c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55"/>
    </row>
    <row r="15" spans="1:40" ht="15" customHeight="1" x14ac:dyDescent="0.25">
      <c r="A15" s="72" t="s">
        <v>87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55"/>
    </row>
    <row r="16" spans="1:40" ht="15.7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55"/>
    </row>
    <row r="17" spans="1:33" ht="15.75" customHeight="1" x14ac:dyDescent="0.25">
      <c r="A17" s="104" t="s">
        <v>0</v>
      </c>
      <c r="B17" s="104"/>
      <c r="C17" s="104"/>
      <c r="D17" s="104"/>
      <c r="E17" s="104"/>
      <c r="F17" s="104"/>
      <c r="G17" s="105" t="s">
        <v>63</v>
      </c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55"/>
    </row>
    <row r="18" spans="1:33" ht="15.75" customHeight="1" x14ac:dyDescent="0.25">
      <c r="A18" s="104" t="s">
        <v>61</v>
      </c>
      <c r="B18" s="104"/>
      <c r="C18" s="104"/>
      <c r="D18" s="104"/>
      <c r="E18" s="104"/>
      <c r="F18" s="104"/>
      <c r="G18" s="105" t="s">
        <v>62</v>
      </c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55"/>
    </row>
    <row r="19" spans="1:33" ht="15.75" customHeight="1" x14ac:dyDescent="0.25">
      <c r="A19" s="104" t="s">
        <v>58</v>
      </c>
      <c r="B19" s="104"/>
      <c r="C19" s="104"/>
      <c r="D19" s="104"/>
      <c r="E19" s="104"/>
      <c r="F19" s="104"/>
      <c r="G19" s="77" t="s">
        <v>64</v>
      </c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55"/>
    </row>
    <row r="20" spans="1:33" ht="15.75" customHeight="1" x14ac:dyDescent="0.25">
      <c r="A20" s="106"/>
      <c r="B20" s="106"/>
      <c r="C20" s="106"/>
      <c r="D20" s="106"/>
      <c r="E20" s="106"/>
      <c r="F20" s="106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55"/>
    </row>
    <row r="21" spans="1:33" ht="15.75" customHeight="1" x14ac:dyDescent="0.25">
      <c r="A21" s="104" t="s">
        <v>59</v>
      </c>
      <c r="B21" s="104"/>
      <c r="C21" s="104"/>
      <c r="D21" s="104"/>
      <c r="E21" s="104"/>
      <c r="F21" s="104"/>
      <c r="G21" s="77" t="s">
        <v>65</v>
      </c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55"/>
    </row>
    <row r="22" spans="1:33" ht="15.75" customHeight="1" x14ac:dyDescent="0.25">
      <c r="A22" s="106"/>
      <c r="B22" s="106"/>
      <c r="C22" s="106"/>
      <c r="D22" s="106"/>
      <c r="E22" s="106"/>
      <c r="F22" s="106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55"/>
    </row>
    <row r="23" spans="1:33" ht="15.75" customHeight="1" x14ac:dyDescent="0.25">
      <c r="A23" s="104" t="s">
        <v>71</v>
      </c>
      <c r="B23" s="104"/>
      <c r="C23" s="104"/>
      <c r="D23" s="104"/>
      <c r="E23" s="104"/>
      <c r="F23" s="104"/>
      <c r="G23" s="105" t="s">
        <v>86</v>
      </c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55"/>
    </row>
    <row r="24" spans="1:33" ht="15.75" customHeight="1" x14ac:dyDescent="0.25">
      <c r="A24" s="104" t="s">
        <v>60</v>
      </c>
      <c r="B24" s="104"/>
      <c r="C24" s="104"/>
      <c r="D24" s="104"/>
      <c r="E24" s="104"/>
      <c r="F24" s="104"/>
      <c r="G24" s="107">
        <v>46058</v>
      </c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55"/>
    </row>
    <row r="25" spans="1:33" ht="15.75" customHeight="1" x14ac:dyDescent="0.25">
      <c r="A25" s="104" t="s">
        <v>69</v>
      </c>
      <c r="B25" s="104"/>
      <c r="C25" s="104"/>
      <c r="D25" s="104"/>
      <c r="E25" s="104"/>
      <c r="F25" s="104"/>
      <c r="G25" s="77" t="s">
        <v>78</v>
      </c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55"/>
    </row>
    <row r="26" spans="1:33" ht="15.75" customHeight="1" x14ac:dyDescent="0.25">
      <c r="A26" s="104" t="s">
        <v>70</v>
      </c>
      <c r="B26" s="104"/>
      <c r="C26" s="104"/>
      <c r="D26" s="104"/>
      <c r="E26" s="104"/>
      <c r="F26" s="104"/>
      <c r="G26" s="77" t="s">
        <v>106</v>
      </c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34"/>
    </row>
    <row r="27" spans="1:33" ht="15.75" customHeight="1" x14ac:dyDescent="0.25">
      <c r="A27" s="106"/>
      <c r="B27" s="106"/>
      <c r="C27" s="106"/>
      <c r="D27" s="106"/>
      <c r="E27" s="106"/>
      <c r="F27" s="106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34"/>
    </row>
    <row r="28" spans="1:33" ht="15.75" customHeight="1" x14ac:dyDescent="0.25">
      <c r="A28" s="106"/>
      <c r="B28" s="106"/>
      <c r="C28" s="106"/>
      <c r="D28" s="106"/>
      <c r="E28" s="106"/>
      <c r="F28" s="106"/>
      <c r="G28" s="108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63">
        <v>70</v>
      </c>
      <c r="AA28" s="63">
        <v>80</v>
      </c>
      <c r="AB28" s="27"/>
      <c r="AC28" s="27"/>
      <c r="AD28" s="57"/>
      <c r="AE28" s="57"/>
      <c r="AF28" s="57"/>
      <c r="AG28" s="57"/>
    </row>
    <row r="29" spans="1:33" ht="15.75" customHeight="1" x14ac:dyDescent="0.25">
      <c r="A29" s="109" t="s">
        <v>80</v>
      </c>
      <c r="B29" s="109"/>
      <c r="C29" s="109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69">
        <f ca="1">RANDBETWEEN($Z$28,$AA$28)*10</f>
        <v>790</v>
      </c>
      <c r="AA29" s="70"/>
      <c r="AB29" s="70"/>
      <c r="AC29" s="71"/>
    </row>
    <row r="30" spans="1:33" ht="15.75" customHeight="1" x14ac:dyDescent="0.25">
      <c r="A30" s="109"/>
      <c r="B30" s="109"/>
      <c r="C30" s="109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4"/>
    </row>
    <row r="31" spans="1:33" ht="15.75" customHeight="1" x14ac:dyDescent="0.25">
      <c r="A31" s="110" t="s">
        <v>81</v>
      </c>
      <c r="B31" s="110"/>
      <c r="C31" s="110" t="s">
        <v>82</v>
      </c>
      <c r="D31" s="110"/>
      <c r="E31" s="110"/>
      <c r="F31" s="110"/>
      <c r="G31" s="110"/>
      <c r="H31" s="110"/>
      <c r="I31" s="110"/>
      <c r="J31" s="110"/>
      <c r="K31" s="111" t="s">
        <v>85</v>
      </c>
      <c r="L31" s="111"/>
      <c r="M31" s="111"/>
      <c r="N31" s="111"/>
      <c r="O31" s="111" t="s">
        <v>84</v>
      </c>
      <c r="P31" s="111"/>
      <c r="Q31" s="111"/>
      <c r="R31" s="111"/>
      <c r="S31" s="111"/>
      <c r="T31" s="111"/>
      <c r="U31" s="111"/>
      <c r="V31" s="111"/>
      <c r="W31" s="111" t="s">
        <v>83</v>
      </c>
      <c r="X31" s="111"/>
      <c r="Y31" s="111"/>
      <c r="Z31" s="34"/>
    </row>
    <row r="32" spans="1:33" ht="15.75" customHeight="1" x14ac:dyDescent="0.25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34"/>
    </row>
    <row r="33" spans="1:42" ht="15.75" customHeight="1" x14ac:dyDescent="0.25">
      <c r="A33" s="110">
        <v>1</v>
      </c>
      <c r="B33" s="110"/>
      <c r="C33" s="110">
        <v>2</v>
      </c>
      <c r="D33" s="110"/>
      <c r="E33" s="110"/>
      <c r="F33" s="110"/>
      <c r="G33" s="110"/>
      <c r="H33" s="110"/>
      <c r="I33" s="110"/>
      <c r="J33" s="110"/>
      <c r="K33" s="87">
        <v>3</v>
      </c>
      <c r="L33" s="87"/>
      <c r="M33" s="87"/>
      <c r="N33" s="87"/>
      <c r="O33" s="87">
        <v>4</v>
      </c>
      <c r="P33" s="87"/>
      <c r="Q33" s="87"/>
      <c r="R33" s="87"/>
      <c r="S33" s="87"/>
      <c r="T33" s="87"/>
      <c r="U33" s="87"/>
      <c r="V33" s="87"/>
      <c r="W33" s="87">
        <v>5</v>
      </c>
      <c r="X33" s="87"/>
      <c r="Y33" s="87"/>
      <c r="Z33" s="34"/>
    </row>
    <row r="34" spans="1:42" ht="15.75" customHeight="1" x14ac:dyDescent="0.25">
      <c r="A34" s="112">
        <v>1</v>
      </c>
      <c r="B34" s="112"/>
      <c r="C34" s="113" t="s">
        <v>88</v>
      </c>
      <c r="D34" s="112"/>
      <c r="E34" s="112"/>
      <c r="F34" s="112"/>
      <c r="G34" s="112"/>
      <c r="H34" s="112"/>
      <c r="I34" s="112"/>
      <c r="J34" s="112"/>
      <c r="K34" s="114">
        <f t="shared" ref="K34:K45" ca="1" si="0">RANDBETWEEN($Z$28,$AA$28)*10</f>
        <v>760</v>
      </c>
      <c r="L34" s="115"/>
      <c r="M34" s="115"/>
      <c r="N34" s="116"/>
      <c r="O34" s="87" t="s">
        <v>103</v>
      </c>
      <c r="P34" s="87"/>
      <c r="Q34" s="87"/>
      <c r="R34" s="87"/>
      <c r="S34" s="87"/>
      <c r="T34" s="87"/>
      <c r="U34" s="87"/>
      <c r="V34" s="87"/>
      <c r="W34" s="87" t="s">
        <v>90</v>
      </c>
      <c r="X34" s="87"/>
      <c r="Y34" s="87"/>
      <c r="Z34" s="34"/>
    </row>
    <row r="35" spans="1:42" ht="15.75" customHeight="1" x14ac:dyDescent="0.25">
      <c r="A35" s="112"/>
      <c r="B35" s="112"/>
      <c r="C35" s="113"/>
      <c r="D35" s="112"/>
      <c r="E35" s="112"/>
      <c r="F35" s="112"/>
      <c r="G35" s="112"/>
      <c r="H35" s="112"/>
      <c r="I35" s="112"/>
      <c r="J35" s="112"/>
      <c r="K35" s="114">
        <f t="shared" ca="1" si="0"/>
        <v>760</v>
      </c>
      <c r="L35" s="115"/>
      <c r="M35" s="115"/>
      <c r="N35" s="116"/>
      <c r="O35" s="87" t="s">
        <v>103</v>
      </c>
      <c r="P35" s="87"/>
      <c r="Q35" s="87"/>
      <c r="R35" s="87"/>
      <c r="S35" s="87"/>
      <c r="T35" s="87"/>
      <c r="U35" s="87"/>
      <c r="V35" s="87"/>
      <c r="W35" s="87" t="s">
        <v>91</v>
      </c>
      <c r="X35" s="87"/>
      <c r="Y35" s="87"/>
      <c r="Z35" s="34"/>
    </row>
    <row r="36" spans="1:42" ht="15.75" customHeight="1" x14ac:dyDescent="0.25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4">
        <f t="shared" ca="1" si="0"/>
        <v>770</v>
      </c>
      <c r="L36" s="115"/>
      <c r="M36" s="115"/>
      <c r="N36" s="116"/>
      <c r="O36" s="87" t="s">
        <v>103</v>
      </c>
      <c r="P36" s="87"/>
      <c r="Q36" s="87"/>
      <c r="R36" s="87"/>
      <c r="S36" s="87"/>
      <c r="T36" s="87"/>
      <c r="U36" s="87"/>
      <c r="V36" s="87"/>
      <c r="W36" s="87" t="s">
        <v>92</v>
      </c>
      <c r="X36" s="87"/>
      <c r="Y36" s="87"/>
      <c r="Z36" s="34"/>
    </row>
    <row r="37" spans="1:42" ht="15.75" customHeight="1" x14ac:dyDescent="0.25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4">
        <f t="shared" ca="1" si="0"/>
        <v>750</v>
      </c>
      <c r="L37" s="115"/>
      <c r="M37" s="115"/>
      <c r="N37" s="116"/>
      <c r="O37" s="87" t="s">
        <v>103</v>
      </c>
      <c r="P37" s="87"/>
      <c r="Q37" s="87"/>
      <c r="R37" s="87"/>
      <c r="S37" s="87"/>
      <c r="T37" s="87"/>
      <c r="U37" s="87"/>
      <c r="V37" s="87"/>
      <c r="W37" s="87" t="s">
        <v>93</v>
      </c>
      <c r="X37" s="87"/>
      <c r="Y37" s="87"/>
      <c r="Z37" s="34"/>
    </row>
    <row r="38" spans="1:42" ht="15.75" customHeight="1" x14ac:dyDescent="0.25">
      <c r="A38" s="112">
        <v>2</v>
      </c>
      <c r="B38" s="112"/>
      <c r="C38" s="113" t="s">
        <v>88</v>
      </c>
      <c r="D38" s="112"/>
      <c r="E38" s="112"/>
      <c r="F38" s="112"/>
      <c r="G38" s="112"/>
      <c r="H38" s="112"/>
      <c r="I38" s="112"/>
      <c r="J38" s="112"/>
      <c r="K38" s="114">
        <f t="shared" ca="1" si="0"/>
        <v>760</v>
      </c>
      <c r="L38" s="115"/>
      <c r="M38" s="115"/>
      <c r="N38" s="116"/>
      <c r="O38" s="87" t="s">
        <v>103</v>
      </c>
      <c r="P38" s="87"/>
      <c r="Q38" s="87"/>
      <c r="R38" s="87"/>
      <c r="S38" s="87"/>
      <c r="T38" s="87"/>
      <c r="U38" s="87"/>
      <c r="V38" s="87"/>
      <c r="W38" s="87" t="s">
        <v>94</v>
      </c>
      <c r="X38" s="87"/>
      <c r="Y38" s="87"/>
      <c r="Z38" s="34"/>
    </row>
    <row r="39" spans="1:42" ht="15.75" customHeight="1" x14ac:dyDescent="0.25">
      <c r="A39" s="112"/>
      <c r="B39" s="112"/>
      <c r="C39" s="113"/>
      <c r="D39" s="112"/>
      <c r="E39" s="112"/>
      <c r="F39" s="112"/>
      <c r="G39" s="112"/>
      <c r="H39" s="112"/>
      <c r="I39" s="112"/>
      <c r="J39" s="112"/>
      <c r="K39" s="114">
        <f t="shared" ca="1" si="0"/>
        <v>760</v>
      </c>
      <c r="L39" s="115"/>
      <c r="M39" s="115"/>
      <c r="N39" s="116"/>
      <c r="O39" s="87" t="s">
        <v>103</v>
      </c>
      <c r="P39" s="87"/>
      <c r="Q39" s="87"/>
      <c r="R39" s="87"/>
      <c r="S39" s="87"/>
      <c r="T39" s="87"/>
      <c r="U39" s="87"/>
      <c r="V39" s="87"/>
      <c r="W39" s="87" t="s">
        <v>95</v>
      </c>
      <c r="X39" s="87"/>
      <c r="Y39" s="87"/>
      <c r="Z39" s="34"/>
    </row>
    <row r="40" spans="1:42" ht="15.75" customHeight="1" x14ac:dyDescent="0.25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4">
        <f t="shared" ca="1" si="0"/>
        <v>770</v>
      </c>
      <c r="L40" s="115"/>
      <c r="M40" s="115"/>
      <c r="N40" s="116"/>
      <c r="O40" s="87" t="s">
        <v>103</v>
      </c>
      <c r="P40" s="87"/>
      <c r="Q40" s="87"/>
      <c r="R40" s="87"/>
      <c r="S40" s="87"/>
      <c r="T40" s="87"/>
      <c r="U40" s="87"/>
      <c r="V40" s="87"/>
      <c r="W40" s="87" t="s">
        <v>96</v>
      </c>
      <c r="X40" s="87"/>
      <c r="Y40" s="87"/>
      <c r="Z40" s="34"/>
    </row>
    <row r="41" spans="1:42" ht="15.75" customHeight="1" x14ac:dyDescent="0.25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4">
        <f t="shared" ca="1" si="0"/>
        <v>740</v>
      </c>
      <c r="L41" s="115"/>
      <c r="M41" s="115"/>
      <c r="N41" s="116"/>
      <c r="O41" s="87" t="s">
        <v>103</v>
      </c>
      <c r="P41" s="87"/>
      <c r="Q41" s="87"/>
      <c r="R41" s="87"/>
      <c r="S41" s="87"/>
      <c r="T41" s="87"/>
      <c r="U41" s="87"/>
      <c r="V41" s="87"/>
      <c r="W41" s="87" t="s">
        <v>97</v>
      </c>
      <c r="X41" s="87"/>
      <c r="Y41" s="87"/>
      <c r="Z41" s="34"/>
    </row>
    <row r="42" spans="1:42" ht="15.75" customHeight="1" x14ac:dyDescent="0.25">
      <c r="A42" s="112">
        <v>3</v>
      </c>
      <c r="B42" s="112"/>
      <c r="C42" s="113" t="s">
        <v>88</v>
      </c>
      <c r="D42" s="112"/>
      <c r="E42" s="112"/>
      <c r="F42" s="112"/>
      <c r="G42" s="112"/>
      <c r="H42" s="112"/>
      <c r="I42" s="112"/>
      <c r="J42" s="112"/>
      <c r="K42" s="114">
        <f t="shared" ca="1" si="0"/>
        <v>720</v>
      </c>
      <c r="L42" s="115"/>
      <c r="M42" s="115"/>
      <c r="N42" s="116"/>
      <c r="O42" s="87" t="s">
        <v>103</v>
      </c>
      <c r="P42" s="87"/>
      <c r="Q42" s="87"/>
      <c r="R42" s="87"/>
      <c r="S42" s="87"/>
      <c r="T42" s="87"/>
      <c r="U42" s="87"/>
      <c r="V42" s="87"/>
      <c r="W42" s="87" t="s">
        <v>98</v>
      </c>
      <c r="X42" s="87"/>
      <c r="Y42" s="87"/>
      <c r="Z42" s="34"/>
    </row>
    <row r="43" spans="1:42" ht="15.75" customHeight="1" x14ac:dyDescent="0.25">
      <c r="A43" s="112"/>
      <c r="B43" s="112"/>
      <c r="C43" s="113"/>
      <c r="D43" s="112"/>
      <c r="E43" s="112"/>
      <c r="F43" s="112"/>
      <c r="G43" s="112"/>
      <c r="H43" s="112"/>
      <c r="I43" s="112"/>
      <c r="J43" s="112"/>
      <c r="K43" s="114">
        <f t="shared" ca="1" si="0"/>
        <v>790</v>
      </c>
      <c r="L43" s="115"/>
      <c r="M43" s="115"/>
      <c r="N43" s="116"/>
      <c r="O43" s="87" t="s">
        <v>103</v>
      </c>
      <c r="P43" s="87"/>
      <c r="Q43" s="87"/>
      <c r="R43" s="87"/>
      <c r="S43" s="87"/>
      <c r="T43" s="87"/>
      <c r="U43" s="87"/>
      <c r="V43" s="87"/>
      <c r="W43" s="87" t="s">
        <v>99</v>
      </c>
      <c r="X43" s="87"/>
      <c r="Y43" s="87"/>
      <c r="Z43" s="34"/>
    </row>
    <row r="44" spans="1:42" ht="15.75" customHeight="1" x14ac:dyDescent="0.25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4">
        <f t="shared" ca="1" si="0"/>
        <v>710</v>
      </c>
      <c r="L44" s="115"/>
      <c r="M44" s="115"/>
      <c r="N44" s="116"/>
      <c r="O44" s="87" t="s">
        <v>103</v>
      </c>
      <c r="P44" s="87"/>
      <c r="Q44" s="87"/>
      <c r="R44" s="87"/>
      <c r="S44" s="87"/>
      <c r="T44" s="87"/>
      <c r="U44" s="87"/>
      <c r="V44" s="87"/>
      <c r="W44" s="87" t="s">
        <v>100</v>
      </c>
      <c r="X44" s="87"/>
      <c r="Y44" s="87"/>
      <c r="Z44" s="34"/>
    </row>
    <row r="45" spans="1:42" ht="15.75" customHeight="1" x14ac:dyDescent="0.25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4">
        <f t="shared" ca="1" si="0"/>
        <v>750</v>
      </c>
      <c r="L45" s="115"/>
      <c r="M45" s="115"/>
      <c r="N45" s="116"/>
      <c r="O45" s="87" t="s">
        <v>103</v>
      </c>
      <c r="P45" s="87"/>
      <c r="Q45" s="87"/>
      <c r="R45" s="87"/>
      <c r="S45" s="87"/>
      <c r="T45" s="87"/>
      <c r="U45" s="87"/>
      <c r="V45" s="87"/>
      <c r="W45" s="87" t="s">
        <v>101</v>
      </c>
      <c r="X45" s="87"/>
      <c r="Y45" s="87"/>
      <c r="Z45" s="34"/>
    </row>
    <row r="46" spans="1:42" ht="15.75" customHeight="1" x14ac:dyDescent="0.25">
      <c r="A46" s="109"/>
      <c r="B46" s="109"/>
      <c r="C46" s="109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4"/>
    </row>
    <row r="47" spans="1:42" ht="15.75" customHeight="1" x14ac:dyDescent="0.25">
      <c r="A47" s="117" t="s">
        <v>72</v>
      </c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68"/>
      <c r="AA47" s="68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</row>
    <row r="48" spans="1:42" ht="15.75" customHeight="1" x14ac:dyDescent="0.25">
      <c r="A48" s="77" t="str">
        <f ca="1">"Момент закручивания в контролируемых болтовых соединениях составляет "&amp;ROUND(MIN(K34:N45),1)&amp;" - "&amp;ROUND(MAX(K34:N45),1)&amp;" Н·м."</f>
        <v>Момент закручивания в контролируемых болтовых соединениях составляет 710 - 790 Н·м.</v>
      </c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64"/>
      <c r="AA48" s="64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</row>
    <row r="49" spans="1:40" ht="15.75" customHeight="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24"/>
      <c r="AE49" s="32"/>
      <c r="AF49" s="32"/>
      <c r="AG49" s="32"/>
      <c r="AH49" s="32"/>
      <c r="AI49" s="32"/>
      <c r="AJ49" s="32"/>
      <c r="AK49" s="32"/>
      <c r="AL49" s="32"/>
      <c r="AM49" s="32"/>
      <c r="AN49" s="32"/>
    </row>
    <row r="50" spans="1:40" ht="15.75" customHeight="1" x14ac:dyDescent="0.25">
      <c r="A50" s="119"/>
      <c r="B50" s="21"/>
      <c r="C50" s="119"/>
      <c r="D50" s="119"/>
      <c r="E50" s="119"/>
      <c r="F50" s="119"/>
      <c r="G50" s="119"/>
      <c r="H50" s="119"/>
      <c r="I50" s="119"/>
      <c r="J50" s="119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B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</row>
    <row r="51" spans="1:40" ht="15.75" customHeight="1" x14ac:dyDescent="0.25">
      <c r="A51" s="23" t="s">
        <v>75</v>
      </c>
      <c r="B51" s="21"/>
      <c r="C51" s="119"/>
      <c r="D51" s="119"/>
      <c r="E51" s="119"/>
      <c r="F51" s="119"/>
      <c r="G51" s="119"/>
      <c r="H51" s="119"/>
      <c r="I51" s="119"/>
      <c r="J51" s="119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B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</row>
    <row r="52" spans="1:40" ht="15.75" customHeight="1" x14ac:dyDescent="0.25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24"/>
      <c r="AB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</row>
    <row r="53" spans="1:40" ht="15.75" customHeight="1" x14ac:dyDescent="0.25">
      <c r="A53" s="23" t="s">
        <v>4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119"/>
      <c r="Z53" s="24"/>
      <c r="AB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</row>
    <row r="54" spans="1:40" ht="15.75" customHeight="1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119"/>
      <c r="Z54" s="24"/>
      <c r="AB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</row>
    <row r="55" spans="1:40" ht="15.75" customHeight="1" x14ac:dyDescent="0.25">
      <c r="A55" s="23"/>
      <c r="B55" s="23"/>
      <c r="C55" s="23"/>
      <c r="D55" s="23"/>
      <c r="E55" s="23"/>
      <c r="F55" s="23"/>
      <c r="G55" s="23"/>
      <c r="H55" s="21"/>
      <c r="I55" s="23"/>
      <c r="J55" s="24"/>
      <c r="K55" s="23"/>
      <c r="L55" s="21"/>
      <c r="M55" s="23"/>
      <c r="N55" s="24"/>
      <c r="O55" s="23"/>
      <c r="P55" s="24"/>
      <c r="Q55" s="23"/>
      <c r="R55" s="121"/>
      <c r="S55" s="23"/>
      <c r="T55" s="121" t="s">
        <v>67</v>
      </c>
      <c r="U55" s="23"/>
      <c r="V55" s="21"/>
      <c r="W55" s="23"/>
      <c r="X55" s="24"/>
      <c r="Y55" s="21"/>
      <c r="Z55" s="21"/>
      <c r="AB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</row>
    <row r="56" spans="1:40" ht="15.75" customHeight="1" x14ac:dyDescent="0.25">
      <c r="A56" s="23" t="s">
        <v>4</v>
      </c>
      <c r="B56" s="23"/>
      <c r="C56" s="23"/>
      <c r="D56" s="23"/>
      <c r="E56" s="23"/>
      <c r="F56" s="23"/>
      <c r="G56" s="21"/>
      <c r="H56" s="21"/>
      <c r="I56" s="21"/>
      <c r="J56" s="23"/>
      <c r="K56" s="21"/>
      <c r="L56" s="21"/>
      <c r="M56" s="21"/>
      <c r="N56" s="21"/>
      <c r="O56" s="21"/>
      <c r="P56" s="21"/>
      <c r="Q56" s="21"/>
      <c r="R56" s="121"/>
      <c r="S56" s="21"/>
      <c r="T56" s="121"/>
      <c r="U56" s="21"/>
      <c r="V56" s="21"/>
      <c r="W56" s="21"/>
      <c r="X56" s="21"/>
      <c r="Y56" s="21"/>
      <c r="Z56" s="22"/>
    </row>
    <row r="57" spans="1:40" ht="15.75" customHeight="1" x14ac:dyDescent="0.25">
      <c r="A57" s="23"/>
      <c r="B57" s="23"/>
      <c r="C57" s="23"/>
      <c r="D57" s="23"/>
      <c r="E57" s="23"/>
      <c r="F57" s="23"/>
      <c r="G57" s="21"/>
      <c r="H57" s="21"/>
      <c r="I57" s="21"/>
      <c r="J57" s="23"/>
      <c r="K57" s="21"/>
      <c r="L57" s="21"/>
      <c r="M57" s="21"/>
      <c r="N57" s="21"/>
      <c r="O57" s="21"/>
      <c r="P57" s="21"/>
      <c r="Q57" s="21"/>
      <c r="R57" s="121"/>
      <c r="S57" s="21"/>
      <c r="T57" s="121"/>
      <c r="U57" s="21"/>
      <c r="V57" s="21"/>
      <c r="W57" s="21"/>
      <c r="X57" s="21"/>
      <c r="Y57" s="21"/>
    </row>
    <row r="58" spans="1:40" ht="15.75" customHeight="1" x14ac:dyDescent="0.25">
      <c r="A58" s="23"/>
      <c r="B58" s="23"/>
      <c r="C58" s="23"/>
      <c r="D58" s="23"/>
      <c r="E58" s="23"/>
      <c r="F58" s="23"/>
      <c r="G58" s="21"/>
      <c r="H58" s="21"/>
      <c r="I58" s="21"/>
      <c r="J58" s="23"/>
      <c r="K58" s="21"/>
      <c r="L58" s="21"/>
      <c r="M58" s="21"/>
      <c r="N58" s="21"/>
      <c r="O58" s="21"/>
      <c r="P58" s="21"/>
      <c r="Q58" s="21"/>
      <c r="R58" s="121"/>
      <c r="S58" s="21"/>
      <c r="T58" s="121" t="s">
        <v>67</v>
      </c>
      <c r="U58" s="21"/>
      <c r="V58" s="21"/>
      <c r="W58" s="21"/>
      <c r="X58" s="21"/>
      <c r="Y58" s="21"/>
    </row>
    <row r="59" spans="1:40" ht="15.75" customHeight="1" x14ac:dyDescent="0.25">
      <c r="A59" s="119" t="s">
        <v>1</v>
      </c>
      <c r="B59" s="119"/>
      <c r="C59" s="119"/>
      <c r="D59" s="119" t="s">
        <v>76</v>
      </c>
      <c r="E59" s="119"/>
      <c r="F59" s="119"/>
      <c r="G59" s="119"/>
      <c r="H59" s="119"/>
      <c r="I59" s="119"/>
      <c r="J59" s="119"/>
      <c r="K59" s="21"/>
      <c r="L59" s="21"/>
      <c r="M59" s="21"/>
      <c r="N59" s="21"/>
      <c r="O59" s="21"/>
      <c r="P59" s="21"/>
      <c r="Q59" s="21"/>
      <c r="R59" s="23"/>
      <c r="S59" s="21"/>
      <c r="T59" s="21"/>
      <c r="U59" s="21"/>
      <c r="V59" s="21"/>
      <c r="W59" s="21"/>
      <c r="X59" s="21"/>
      <c r="Y59" s="21"/>
    </row>
    <row r="60" spans="1:40" ht="15.75" customHeight="1" x14ac:dyDescent="0.25">
      <c r="A60" s="119"/>
      <c r="B60" s="119"/>
      <c r="C60" s="119"/>
      <c r="D60" s="119" t="s">
        <v>77</v>
      </c>
      <c r="E60" s="119"/>
      <c r="F60" s="119"/>
      <c r="G60" s="119"/>
      <c r="H60" s="119"/>
      <c r="I60" s="119"/>
      <c r="J60" s="119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</row>
    <row r="61" spans="1:40" ht="14.1" customHeight="1" x14ac:dyDescent="0.25"/>
    <row r="62" spans="1:40" ht="14.1" customHeight="1" x14ac:dyDescent="0.25"/>
  </sheetData>
  <mergeCells count="82">
    <mergeCell ref="R13:V13"/>
    <mergeCell ref="A1:Y7"/>
    <mergeCell ref="R9:Z9"/>
    <mergeCell ref="R11:V11"/>
    <mergeCell ref="W11:Z11"/>
    <mergeCell ref="R12:V12"/>
    <mergeCell ref="A19:F19"/>
    <mergeCell ref="G19:Y20"/>
    <mergeCell ref="A21:F21"/>
    <mergeCell ref="G21:Y22"/>
    <mergeCell ref="A14:Y14"/>
    <mergeCell ref="A15:Y15"/>
    <mergeCell ref="A17:F17"/>
    <mergeCell ref="G17:Y17"/>
    <mergeCell ref="A18:F18"/>
    <mergeCell ref="G18:Y18"/>
    <mergeCell ref="A23:F23"/>
    <mergeCell ref="G23:Y23"/>
    <mergeCell ref="A24:F24"/>
    <mergeCell ref="G24:Y24"/>
    <mergeCell ref="A25:F25"/>
    <mergeCell ref="G25:Y25"/>
    <mergeCell ref="A26:F26"/>
    <mergeCell ref="G26:Y27"/>
    <mergeCell ref="Z29:AC29"/>
    <mergeCell ref="A31:B32"/>
    <mergeCell ref="C31:J32"/>
    <mergeCell ref="K31:N32"/>
    <mergeCell ref="O31:V32"/>
    <mergeCell ref="W31:Y32"/>
    <mergeCell ref="A33:B33"/>
    <mergeCell ref="C33:J33"/>
    <mergeCell ref="K33:N33"/>
    <mergeCell ref="O33:V33"/>
    <mergeCell ref="W33:Y33"/>
    <mergeCell ref="K35:N35"/>
    <mergeCell ref="O35:V35"/>
    <mergeCell ref="W35:Y35"/>
    <mergeCell ref="K36:N36"/>
    <mergeCell ref="O36:V36"/>
    <mergeCell ref="W36:Y36"/>
    <mergeCell ref="K37:N37"/>
    <mergeCell ref="O37:V37"/>
    <mergeCell ref="W37:Y37"/>
    <mergeCell ref="A38:B41"/>
    <mergeCell ref="C38:J41"/>
    <mergeCell ref="K38:N38"/>
    <mergeCell ref="O38:V38"/>
    <mergeCell ref="W38:Y38"/>
    <mergeCell ref="K39:N39"/>
    <mergeCell ref="O39:V39"/>
    <mergeCell ref="A34:B37"/>
    <mergeCell ref="C34:J37"/>
    <mergeCell ref="K34:N34"/>
    <mergeCell ref="O34:V34"/>
    <mergeCell ref="W34:Y34"/>
    <mergeCell ref="W43:Y43"/>
    <mergeCell ref="K44:N44"/>
    <mergeCell ref="O44:V44"/>
    <mergeCell ref="W39:Y39"/>
    <mergeCell ref="K40:N40"/>
    <mergeCell ref="O40:V40"/>
    <mergeCell ref="W40:Y40"/>
    <mergeCell ref="K41:N41"/>
    <mergeCell ref="O41:V41"/>
    <mergeCell ref="W41:Y41"/>
    <mergeCell ref="A48:Y48"/>
    <mergeCell ref="Z48:AA48"/>
    <mergeCell ref="A49:Y49"/>
    <mergeCell ref="W44:Y44"/>
    <mergeCell ref="K45:N45"/>
    <mergeCell ref="O45:V45"/>
    <mergeCell ref="W45:Y45"/>
    <mergeCell ref="A47:Y47"/>
    <mergeCell ref="Z47:AA47"/>
    <mergeCell ref="A42:B45"/>
    <mergeCell ref="C42:J45"/>
    <mergeCell ref="K42:N42"/>
    <mergeCell ref="O42:V42"/>
    <mergeCell ref="W42:Y42"/>
    <mergeCell ref="K43:N43"/>
    <mergeCell ref="O43:V43"/>
  </mergeCells>
  <printOptions horizontalCentered="1"/>
  <pageMargins left="0" right="0" top="0.39370078740157483" bottom="0.55118110236220474" header="0.11811023622047245" footer="0.31496062992125984"/>
  <pageSetup paperSize="9" scale="85" orientation="portrait" r:id="rId1"/>
  <headerFooter differentFirst="1" scaleWithDoc="0">
    <oddHeader>&amp;C&amp;G</oddHeader>
    <oddFooter>&amp;R&amp;8№&amp;A.УК Страница  &amp;P из &amp;N</oddFooter>
    <firstHeader>&amp;C&amp;G</firstHeader>
    <firstFooter>&amp;R&amp;8№&amp;A.УК Страница  &amp;P из &amp;N</first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132091-F04E-47E7-8DC5-0861983801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Рассчеты (3)</vt:lpstr>
      <vt:lpstr>Ключ на 40 - 210</vt:lpstr>
      <vt:lpstr>Ключ на 150 - 750</vt:lpstr>
      <vt:lpstr>Ключ на 500 - 2300</vt:lpstr>
      <vt:lpstr>'Ключ на 150 - 750'!Область_печати</vt:lpstr>
      <vt:lpstr>'Ключ на 40 - 210'!Область_печати</vt:lpstr>
      <vt:lpstr>'Ключ на 500 - 2300'!Область_печати</vt:lpstr>
      <vt:lpstr>'Рассчеты (3)'!Область_печати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Lab4</dc:creator>
  <cp:lastModifiedBy>User 164</cp:lastModifiedBy>
  <cp:lastPrinted>2026-03-31T12:06:32Z</cp:lastPrinted>
  <dcterms:created xsi:type="dcterms:W3CDTF">2015-06-01T08:05:49Z</dcterms:created>
  <dcterms:modified xsi:type="dcterms:W3CDTF">2026-04-08T08:07:26Z</dcterms:modified>
</cp:coreProperties>
</file>